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51196F13-6AD0-C1B8-E2B4-A1F9AE17003E}"/>
  <workbookPr codeName="ThisWorkbook"/>
  <mc:AlternateContent xmlns:mc="http://schemas.openxmlformats.org/markup-compatibility/2006">
    <mc:Choice Requires="x15">
      <x15ac:absPath xmlns:x15ac="http://schemas.microsoft.com/office/spreadsheetml/2010/11/ac" url="https://hsorhf-my.sharepoint.com/personal/oddtel_sshf_no/Documents/Documents/"/>
    </mc:Choice>
  </mc:AlternateContent>
  <xr:revisionPtr revIDLastSave="0" documentId="8_{CBC916EF-401B-40F2-B564-860EE5E4D057}" xr6:coauthVersionLast="47" xr6:coauthVersionMax="47" xr10:uidLastSave="{00000000-0000-0000-0000-000000000000}"/>
  <workbookProtection workbookAlgorithmName="SHA-512" workbookHashValue="0uSCWbMAu5IToOJCOEU+zHhgCYn8T7RL+2EVvmRWZQxiQb8RuX7MdKcJg7jtCJaMk2WWKFG1LoNumTTpHQdHPQ==" workbookSaltValue="x95V1sHiP49dNIhK//3DxA==" workbookSpinCount="100000" lockStructure="1"/>
  <bookViews>
    <workbookView xWindow="-120" yWindow="-120" windowWidth="29040" windowHeight="17640" tabRatio="815" xr2:uid="{00000000-000D-0000-FFFF-FFFF00000000}"/>
  </bookViews>
  <sheets>
    <sheet name="Gentacalc" sheetId="1" r:id="rId1"/>
    <sheet name="Ark2" sheetId="2" state="hidden" r:id="rId2"/>
    <sheet name="Tolking s-gentamicin, 0-prøve" sheetId="3" r:id="rId3"/>
    <sheet name="Tolkning s-gentamicin, 8t-prøve" sheetId="7" r:id="rId4"/>
    <sheet name="Prosedyre" sheetId="10" r:id="rId5"/>
    <sheet name="Hvordan legge inn i Metavision" sheetId="5" r:id="rId6"/>
    <sheet name="Referanser" sheetId="6" r:id="rId7"/>
    <sheet name="Forutsetninger" sheetId="11" r:id="rId8"/>
  </sheets>
  <definedNames>
    <definedName name="_3.3.5.1_Forklaring_til_bruk_habituell_kreatinin">Prosedyre!$A$71</definedName>
    <definedName name="Link">#REF!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5" i="2" l="1"/>
  <c r="B52" i="2"/>
  <c r="B53" i="2" s="1"/>
  <c r="B54" i="2" s="1"/>
  <c r="B55" i="2" s="1"/>
  <c r="B56" i="2" s="1"/>
  <c r="B57" i="2" s="1"/>
  <c r="B58" i="2" s="1"/>
  <c r="B59" i="2" s="1"/>
  <c r="B60" i="2" s="1"/>
  <c r="B61" i="2" s="1"/>
  <c r="B62" i="2" s="1"/>
  <c r="B63" i="2" s="1"/>
  <c r="B40" i="2" s="1"/>
  <c r="B41" i="2" s="1"/>
  <c r="B42" i="2" s="1"/>
  <c r="B43" i="2" s="1"/>
  <c r="B44" i="2" s="1"/>
  <c r="B45" i="2" s="1"/>
  <c r="B46" i="2" s="1"/>
  <c r="C36" i="2"/>
  <c r="C35" i="2" s="1"/>
  <c r="B27" i="2"/>
  <c r="B26" i="2"/>
  <c r="B21" i="2"/>
  <c r="B20" i="2"/>
  <c r="B22" i="2" s="1"/>
  <c r="C31" i="1" s="1"/>
  <c r="E15" i="2"/>
  <c r="C42" i="1"/>
  <c r="D36" i="1"/>
  <c r="C36" i="1"/>
  <c r="F35" i="1"/>
  <c r="C35" i="1"/>
  <c r="C33" i="1"/>
  <c r="C32" i="1"/>
  <c r="F33" i="1" s="1"/>
  <c r="C21" i="1"/>
  <c r="N17" i="1"/>
  <c r="J15" i="1"/>
  <c r="H15" i="1"/>
  <c r="J14" i="1"/>
  <c r="H14" i="1"/>
  <c r="J13" i="1"/>
  <c r="H13" i="1"/>
  <c r="F36" i="1" s="1"/>
  <c r="C38" i="2" l="1"/>
  <c r="C37" i="2"/>
  <c r="C43" i="1"/>
  <c r="F29" i="2" s="1"/>
  <c r="F31" i="1"/>
  <c r="C39" i="1"/>
  <c r="C37" i="1"/>
  <c r="C22" i="1"/>
  <c r="L29" i="2"/>
  <c r="C34" i="1"/>
  <c r="I56" i="2" l="1"/>
  <c r="B30" i="2"/>
  <c r="F45" i="2"/>
  <c r="G45" i="2" s="1"/>
  <c r="F43" i="2"/>
  <c r="F48" i="2" l="1"/>
  <c r="F44" i="2" s="1"/>
  <c r="G44" i="2" s="1"/>
  <c r="G43" i="2"/>
  <c r="B32" i="2"/>
  <c r="B3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Erik Øydna</author>
  </authors>
  <commentList>
    <comment ref="E18" authorId="0" shapeId="0" xr:uid="{00000000-0006-0000-0000-000001000000}">
      <text>
        <r>
          <rPr>
            <sz val="9"/>
            <rFont val="Tahoma"/>
            <family val="2"/>
          </rPr>
          <t xml:space="preserve">Ta utgangspunkt i tidligere 
kreatinin-verdier i stabil fase.
Ved akutt nyresvikt se Arkfane 3 
for håndtering.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Erik Øydna</author>
  </authors>
  <commentList>
    <comment ref="C7" authorId="0" shapeId="0" xr:uid="{00000000-0006-0000-0200-000001000000}">
      <text>
        <r>
          <rPr>
            <sz val="9"/>
            <rFont val="Tahoma"/>
            <family val="2"/>
          </rPr>
          <t xml:space="preserve">
</t>
        </r>
      </text>
    </comment>
    <comment ref="C8" authorId="0" shapeId="0" xr:uid="{00000000-0006-0000-0200-000002000000}">
      <text/>
    </comment>
  </commentList>
</comments>
</file>

<file path=xl/sharedStrings.xml><?xml version="1.0" encoding="utf-8"?>
<sst xmlns="http://schemas.openxmlformats.org/spreadsheetml/2006/main" count="263" uniqueCount="249">
  <si>
    <r>
      <rPr>
        <b/>
        <sz val="12"/>
        <color theme="1"/>
        <rFont val="Calibri"/>
        <family val="2"/>
        <scheme val="minor"/>
      </rPr>
      <t xml:space="preserve">Kontraindikasjoner for bruk av Gentamicin: </t>
    </r>
    <r>
      <rPr>
        <b/>
        <sz val="11"/>
        <color theme="1"/>
        <rFont val="Calibri"/>
        <family val="2"/>
        <scheme val="minor"/>
      </rPr>
      <t xml:space="preserve">
       - </t>
    </r>
    <r>
      <rPr>
        <sz val="11"/>
        <color theme="1"/>
        <rFont val="Calibri"/>
        <family val="2"/>
        <scheme val="minor"/>
      </rPr>
      <t xml:space="preserve">Kronisk nyresvikt, GFR &lt; 40 ml/min
   - Fulminant flerorgansvikt 
    - Myastenia gravis
       - Gravide i 2. eller 3. trimester </t>
    </r>
  </si>
  <si>
    <t>Dosering</t>
  </si>
  <si>
    <t>mg/kg</t>
  </si>
  <si>
    <t>Alder</t>
  </si>
  <si>
    <t>Vekt</t>
  </si>
  <si>
    <t>kg</t>
  </si>
  <si>
    <t xml:space="preserve">Høyde </t>
  </si>
  <si>
    <t>cm</t>
  </si>
  <si>
    <t>Kreatinin</t>
  </si>
  <si>
    <t>Kjønn</t>
  </si>
  <si>
    <t>Mann</t>
  </si>
  <si>
    <t>Kvinne</t>
  </si>
  <si>
    <t>BMI</t>
  </si>
  <si>
    <t>Høyde</t>
  </si>
  <si>
    <t>IBW</t>
  </si>
  <si>
    <t>ABW</t>
  </si>
  <si>
    <t>Sett inn pasientinformasjon:</t>
  </si>
  <si>
    <t>Cockroft Gault-formel som beregner GFR:</t>
  </si>
  <si>
    <t>Formel</t>
  </si>
  <si>
    <t xml:space="preserve">Hvis Mann </t>
  </si>
  <si>
    <t xml:space="preserve">Hvis kvinne </t>
  </si>
  <si>
    <t>Valgt kjønn fra drop-down</t>
  </si>
  <si>
    <t>1.dose gis kl.</t>
  </si>
  <si>
    <t>Dosering av Gentamicin:</t>
  </si>
  <si>
    <t>Dose 1:</t>
  </si>
  <si>
    <t>Dose 2:</t>
  </si>
  <si>
    <t>Dose 3:</t>
  </si>
  <si>
    <t>mg</t>
  </si>
  <si>
    <t>Beregnet GFR</t>
  </si>
  <si>
    <t>Gruppering etter beregnet GFR</t>
  </si>
  <si>
    <t xml:space="preserve">GFR lik eller over 60 </t>
  </si>
  <si>
    <t>GFR mellom 40 og 59</t>
  </si>
  <si>
    <t>GFR  under 40</t>
  </si>
  <si>
    <t>Klokkeslett</t>
  </si>
  <si>
    <t>Dose</t>
  </si>
  <si>
    <t>Dosereduksjon (%) ut fra klokkeslett</t>
  </si>
  <si>
    <t>Doseberegning:</t>
  </si>
  <si>
    <t>Avrundet:</t>
  </si>
  <si>
    <t xml:space="preserve">Timer siden forrige dose: </t>
  </si>
  <si>
    <t>Korreksjon for nytt døgn</t>
  </si>
  <si>
    <t>Dosereduksjon i prosent</t>
  </si>
  <si>
    <t>Nulldose ved  &lt; 5 t siden forrige dose</t>
  </si>
  <si>
    <t>Dose 1</t>
  </si>
  <si>
    <t xml:space="preserve">Dose 2 </t>
  </si>
  <si>
    <t xml:space="preserve">Dose 3 </t>
  </si>
  <si>
    <t>Alder &lt;/&gt; 80</t>
  </si>
  <si>
    <t>ml/min</t>
  </si>
  <si>
    <t>Over referanseområde</t>
  </si>
  <si>
    <t>&gt; 4,0 mg/L</t>
  </si>
  <si>
    <t>Uendret dosering</t>
  </si>
  <si>
    <t>1,5 - 4 mg/L</t>
  </si>
  <si>
    <t>&lt; 1,5 mg/L</t>
  </si>
  <si>
    <t>Kommentar</t>
  </si>
  <si>
    <t>Tolkning</t>
  </si>
  <si>
    <t>S-gentamicin 8-timersprøve</t>
  </si>
  <si>
    <t>Vankomycin</t>
  </si>
  <si>
    <t>Leversvikt</t>
  </si>
  <si>
    <t xml:space="preserve">Brukes generelt. </t>
  </si>
  <si>
    <t>Veiledning når lege forordner fra første dose</t>
  </si>
  <si>
    <t xml:space="preserve"> Brukes ved medisinske team og dårlige pasienter</t>
  </si>
  <si>
    <t>Veiledning når første dose gis av sykepleier på knapp:</t>
  </si>
  <si>
    <r>
      <rPr>
        <sz val="14"/>
        <color theme="1"/>
        <rFont val="Symbol"/>
        <family val="1"/>
        <charset val="2"/>
      </rPr>
      <t>·</t>
    </r>
    <r>
      <rPr>
        <sz val="14"/>
        <color theme="1"/>
        <rFont val="Times New Roman"/>
        <family val="1"/>
      </rPr>
      <t xml:space="preserve">         </t>
    </r>
    <r>
      <rPr>
        <sz val="14"/>
        <color theme="1"/>
        <rFont val="Calibri"/>
        <family val="2"/>
        <scheme val="minor"/>
      </rPr>
      <t>Man ønsker å legge inn de tre første dosene hvor 1.dose gis nå. Mens dose 2. og 3. gis klokken 12 av praktiske hensyn for blodprøvesvar og gentaspeil.</t>
    </r>
  </si>
  <si>
    <t>ABW vs IBW brukes i dosering av genta. Ikke til Estimert GFR foreløpig.</t>
  </si>
  <si>
    <t>Boks som vises ved dose over 600 - vises korrekt, men kommer ikke frem før man går videre i neste boks. Noe som trigger koden som jeg ikke skjønner.</t>
  </si>
  <si>
    <t xml:space="preserve">Flisespikking på BMI - boksen fjernes ikke når BMI-cellen ( C31) blir blank. </t>
  </si>
  <si>
    <t>Kan skrive data i cellen for valg av kjønn - kan vi sperre dette evt la det bli blankt i beregning av doser dersom det er fylt ut noe annet enn mann/kvinne?</t>
  </si>
  <si>
    <r>
      <t>·</t>
    </r>
    <r>
      <rPr>
        <sz val="14"/>
        <color theme="1"/>
        <rFont val="Times New Roman"/>
        <family val="1"/>
      </rPr>
      <t xml:space="preserve">         </t>
    </r>
    <r>
      <rPr>
        <sz val="14"/>
        <color theme="1"/>
        <rFont val="Calibri"/>
        <family val="2"/>
        <scheme val="minor"/>
      </rPr>
      <t xml:space="preserve">Bruk Gentamicinkalkulator til å beregne de 3 første dosene og legg disse inn i Metavision. </t>
    </r>
    <r>
      <rPr>
        <u/>
        <sz val="14"/>
        <color theme="1"/>
        <rFont val="Calibri"/>
        <family val="2"/>
        <scheme val="minor"/>
      </rPr>
      <t>Obs. Ved redusert GFR.</t>
    </r>
  </si>
  <si>
    <t>Symptomer/tegn</t>
  </si>
  <si>
    <t>Vestibulartoksisitet (vanligst)</t>
  </si>
  <si>
    <t>Ototoksisitet (sjeldnere) – uni-/bilateralt</t>
  </si>
  <si>
    <t>Oscillopsi (objekter hopper/beveger seg opp og ned ved hodebevegelse)*</t>
  </si>
  <si>
    <t>Hørselstap (høye frekvenser påvirkes først)</t>
  </si>
  <si>
    <t>Postural instabilitet</t>
  </si>
  <si>
    <t>Tinnitus</t>
  </si>
  <si>
    <t>Ustødig gange</t>
  </si>
  <si>
    <t>Tolkning av S-Gentamicin, 0-prøve</t>
  </si>
  <si>
    <t xml:space="preserve">Tas kl 08.00, etter ca 3 døgns behandling, før videre dosering </t>
  </si>
  <si>
    <t xml:space="preserve">1. </t>
  </si>
  <si>
    <t>a.</t>
  </si>
  <si>
    <t>b.</t>
  </si>
  <si>
    <t>Justere behandling etter mikrobiologiske prøvesvar?</t>
  </si>
  <si>
    <t>c.</t>
  </si>
  <si>
    <t>Hvis nei</t>
  </si>
  <si>
    <t>2.</t>
  </si>
  <si>
    <t xml:space="preserve"> *  </t>
  </si>
  <si>
    <t>Habituell GFR &lt; 60</t>
  </si>
  <si>
    <t xml:space="preserve">Forhøyet nefrotoksisk byrde - Se tabell til høyre </t>
  </si>
  <si>
    <t xml:space="preserve">Pasient </t>
  </si>
  <si>
    <t>Dehydrering, vedvarende hypotensjon under innleggelse</t>
  </si>
  <si>
    <t>Frailty (f.eks sykehjemspasienter)</t>
  </si>
  <si>
    <t>Diabetes</t>
  </si>
  <si>
    <t>Ubehandlet hypotyreose</t>
  </si>
  <si>
    <t>Ukorrigert  alvorlig hyponatremi eller metabolsk acidose</t>
  </si>
  <si>
    <t>Bruk av medikamenter som ikke er nullet:</t>
  </si>
  <si>
    <t>NSAIDs</t>
  </si>
  <si>
    <t>ACE-hemmer/ AT2-blokker</t>
  </si>
  <si>
    <t>Amfotericin (lite brukt soppmiddel)</t>
  </si>
  <si>
    <t>* Forhold under absolutte og relative kontraindikasjoner 
er ikke tatt med her.</t>
  </si>
  <si>
    <t>* Listen tar ikke høyde for alle risikofaktorer for nyresvikt</t>
  </si>
  <si>
    <t>Skille Krea over /under 60</t>
  </si>
  <si>
    <t>Skille dose over/under 600</t>
  </si>
  <si>
    <t>Singel nyre</t>
  </si>
  <si>
    <t xml:space="preserve">Beregnet dose, nedrundet til 600 ved høy dose </t>
  </si>
  <si>
    <t xml:space="preserve">Alder &gt; 80 år </t>
  </si>
  <si>
    <t>*</t>
  </si>
  <si>
    <t>Sterkt nedsatt hørsel eller vestibularskade</t>
  </si>
  <si>
    <r>
      <rPr>
        <i/>
        <sz val="11"/>
        <color theme="1"/>
        <rFont val="Calibri"/>
        <family val="2"/>
        <scheme val="minor"/>
      </rPr>
      <t>Loopdiuretika</t>
    </r>
    <r>
      <rPr>
        <sz val="11"/>
        <color theme="1"/>
        <rFont val="Calibri"/>
        <family val="2"/>
        <scheme val="minor"/>
      </rPr>
      <t>, særlig &gt; 100 mg Furosemid (14)</t>
    </r>
  </si>
  <si>
    <t>Tolkning av s-gentamicin 0-prøve</t>
  </si>
  <si>
    <t>3.</t>
  </si>
  <si>
    <t>S-gentamicin 0-prøve</t>
  </si>
  <si>
    <t>&gt; 2,0 mgL</t>
  </si>
  <si>
    <t>I terapeutisk område</t>
  </si>
  <si>
    <t>Mye over referanseområde</t>
  </si>
  <si>
    <r>
      <t xml:space="preserve">Særlig økt risiko for nefrotoksisitet. Seponer gentamicin.
</t>
    </r>
    <r>
      <rPr>
        <u/>
        <sz val="11"/>
        <color theme="1"/>
        <rFont val="Calibri"/>
        <family val="2"/>
        <scheme val="minor"/>
      </rPr>
      <t>Ved endokarditt:</t>
    </r>
    <r>
      <rPr>
        <sz val="11"/>
        <color theme="1"/>
        <rFont val="Calibri"/>
        <family val="2"/>
        <scheme val="minor"/>
      </rPr>
      <t xml:space="preserve"> Ikke gi neste dose, nytt gentaspeil neste dag.
Daglig kreatinin og gentaspeil over en periode. 
Konferer eventuelt med infeksjonslege.</t>
    </r>
  </si>
  <si>
    <t xml:space="preserve">        Hvis ja</t>
  </si>
  <si>
    <t xml:space="preserve">Ved dosering 7 mg/kg, bruk Hartford normogram: (13) </t>
  </si>
  <si>
    <t>Ved dosering 5 mg/kg, bruk Urban &amp; Craig normogram: (13)</t>
  </si>
  <si>
    <t/>
  </si>
  <si>
    <t>Prosedyre for Gentamicinforordning:</t>
  </si>
  <si>
    <t xml:space="preserve">Prosedyre ligger også tilgjenglig i EkWeb </t>
  </si>
  <si>
    <t>1. Hensikt</t>
  </si>
  <si>
    <t>2. Ansvar</t>
  </si>
  <si>
    <t>3. Indikasjoner og forsiktighetsregler aminoglykocider (gentamicin)</t>
  </si>
  <si>
    <t xml:space="preserve">Gentamicin doseres oftest én gang per døgn. Man vil da normalt ha dekning for gram negative bakterier i 24 timer etter administering (se tekst under for detaljer). </t>
  </si>
  <si>
    <t>3.1. De vanligste indikasjonene for gentamicin</t>
  </si>
  <si>
    <r>
      <t>•</t>
    </r>
    <r>
      <rPr>
        <u/>
        <sz val="11"/>
        <color rgb="FF000000"/>
        <rFont val="Calibri"/>
        <family val="2"/>
        <scheme val="minor"/>
      </rPr>
      <t xml:space="preserve">Gram negativ dekning, kombinasjonsbehandling. </t>
    </r>
    <r>
      <rPr>
        <sz val="11"/>
        <color rgb="FF000000"/>
        <rFont val="Calibri"/>
        <family val="2"/>
        <scheme val="minor"/>
      </rPr>
      <t xml:space="preserve">Del av kombinasjonsbehandling ved alvorlige infeksjoner. Gir dekning for de fleste aktuelle gram negativ stavbakterier. Eksempler på gram negative mikrober er </t>
    </r>
    <r>
      <rPr>
        <i/>
        <sz val="11"/>
        <color rgb="FF000000"/>
        <rFont val="Calibri"/>
        <family val="2"/>
        <scheme val="minor"/>
      </rPr>
      <t>E. coli</t>
    </r>
    <r>
      <rPr>
        <sz val="11"/>
        <color rgb="FF000000"/>
        <rFont val="Calibri"/>
        <family val="2"/>
        <scheme val="minor"/>
      </rPr>
      <t xml:space="preserve">, </t>
    </r>
    <r>
      <rPr>
        <i/>
        <sz val="11"/>
        <color rgb="FF000000"/>
        <rFont val="Calibri"/>
        <family val="2"/>
        <scheme val="minor"/>
      </rPr>
      <t>Klebsiella</t>
    </r>
    <r>
      <rPr>
        <sz val="11"/>
        <color rgb="FF000000"/>
        <rFont val="Calibri"/>
        <family val="2"/>
        <scheme val="minor"/>
      </rPr>
      <t xml:space="preserve"> og </t>
    </r>
    <r>
      <rPr>
        <i/>
        <sz val="11"/>
        <color rgb="FF000000"/>
        <rFont val="Calibri"/>
        <family val="2"/>
        <scheme val="minor"/>
      </rPr>
      <t>Enterobacter</t>
    </r>
    <r>
      <rPr>
        <sz val="11"/>
        <color rgb="FF000000"/>
        <rFont val="Calibri"/>
        <family val="2"/>
        <scheme val="minor"/>
      </rPr>
      <t>.</t>
    </r>
  </si>
  <si>
    <r>
      <t>•</t>
    </r>
    <r>
      <rPr>
        <u/>
        <sz val="11"/>
        <color rgb="FF000000"/>
        <rFont val="Calibri"/>
        <family val="2"/>
        <scheme val="minor"/>
      </rPr>
      <t>Gram negativ dekning, monoterapi.</t>
    </r>
    <r>
      <rPr>
        <sz val="11"/>
        <color rgb="FF000000"/>
        <rFont val="Calibri"/>
        <family val="2"/>
        <scheme val="minor"/>
      </rPr>
      <t xml:space="preserve"> Ved sikker febril urinveisinfeksjon. Cystitt forårsaket av bakterier som er resistente mot perorale alternativer. Ved cystitt er én dose normalt tilstrekkelig.(2)</t>
    </r>
  </si>
  <si>
    <t>3.2. Absolutte kontraindikasjoner (skal ikke gis)</t>
  </si>
  <si>
    <r>
      <t>•</t>
    </r>
    <r>
      <rPr>
        <sz val="11"/>
        <color rgb="FF000000"/>
        <rFont val="Calibri"/>
        <family val="2"/>
        <scheme val="minor"/>
      </rPr>
      <t>Kronisk nyresvikt (GFR &lt; 30-40)</t>
    </r>
  </si>
  <si>
    <r>
      <t>•</t>
    </r>
    <r>
      <rPr>
        <sz val="11"/>
        <color rgb="FF000000"/>
        <rFont val="Calibri"/>
        <family val="2"/>
        <scheme val="minor"/>
      </rPr>
      <t>Fulminant flerorgansvikt. (7; 8; 14)</t>
    </r>
  </si>
  <si>
    <t>Kommentar: Kritisk syke pasienter med multiorgansvikt og anuri har høy risiko for å utvikle alvorlig akutt nyresvikt. NB: man skal ikke vente på kreatininsvar hos kritisk syke pasienter før antibiotika gis.</t>
  </si>
  <si>
    <r>
      <t>•</t>
    </r>
    <r>
      <rPr>
        <sz val="11"/>
        <color rgb="FF000000"/>
        <rFont val="Calibri"/>
        <family val="2"/>
        <scheme val="minor"/>
      </rPr>
      <t>Myastenia gravis (5; 6)</t>
    </r>
  </si>
  <si>
    <r>
      <t>Kommentar:</t>
    </r>
    <r>
      <rPr>
        <sz val="11"/>
        <color rgb="FF000000"/>
        <rFont val="Calibri"/>
        <family val="2"/>
        <scheme val="minor"/>
      </rPr>
      <t xml:space="preserve"> Myastenia gravis og andre nevromuskulære sykdommer kan forverres av gentamicin </t>
    </r>
  </si>
  <si>
    <r>
      <t>•</t>
    </r>
    <r>
      <rPr>
        <sz val="11"/>
        <color rgb="FF000000"/>
        <rFont val="Calibri"/>
        <family val="2"/>
        <scheme val="minor"/>
      </rPr>
      <t xml:space="preserve">Tidligere hørselskade eller vestibularskade hos pasient eller førstegradsslektning </t>
    </r>
    <r>
      <rPr>
        <i/>
        <sz val="11"/>
        <color rgb="FF000000"/>
        <rFont val="Calibri"/>
        <family val="2"/>
        <scheme val="minor"/>
      </rPr>
      <t>forårsaket</t>
    </r>
    <r>
      <rPr>
        <sz val="11"/>
        <color rgb="FF000000"/>
        <rFont val="Calibri"/>
        <family val="2"/>
        <scheme val="minor"/>
      </rPr>
      <t xml:space="preserve"> av aminoglykocid (5)</t>
    </r>
  </si>
  <si>
    <t>3.3. Relative kontraindikasjoner (gis med forsiktighet, èn dose kan gis) (1; 7; 8)</t>
  </si>
  <si>
    <r>
      <t>•</t>
    </r>
    <r>
      <rPr>
        <sz val="11"/>
        <color rgb="FF000000"/>
        <rFont val="Calibri"/>
        <family val="2"/>
        <scheme val="minor"/>
      </rPr>
      <t>Graviditet</t>
    </r>
  </si>
  <si>
    <t xml:space="preserve">Som hos alle andre pasienter anbefales normohydrering og å unngå varig hypotensjon. NSAIDs og furosemid bør nulles under gentamicinbehandling hvis ikke sterk indikasjon. </t>
  </si>
  <si>
    <r>
      <t xml:space="preserve">Bruk </t>
    </r>
    <r>
      <rPr>
        <i/>
        <sz val="11"/>
        <color rgb="FF000000"/>
        <rFont val="Calibri"/>
        <family val="2"/>
        <scheme val="minor"/>
      </rPr>
      <t>habituell</t>
    </r>
    <r>
      <rPr>
        <sz val="11"/>
        <color rgb="FF000000"/>
        <rFont val="Calibri"/>
        <family val="2"/>
        <scheme val="minor"/>
      </rPr>
      <t xml:space="preserve"> kreatinin i kalkulatoren, dersom historiske kreatininverdier finnes og du mistenker akutt nyresvikt. Kontroller s-kreatinin til dagen etter: </t>
    </r>
  </si>
  <si>
    <t>Bivirkningen kan potensielt være irreversibel.(12) Spør jevnlig om nyoppståtte symptomer ved behandling &gt; 7 dager. Ved symptomer på toksisitet(5), seponer gentamicin. Kontakt ev. ØNH-lege for tilsyn.</t>
  </si>
  <si>
    <r>
      <t xml:space="preserve">* Rotatorisk vertigo er </t>
    </r>
    <r>
      <rPr>
        <u/>
        <sz val="11"/>
        <color rgb="FF000000"/>
        <rFont val="Calibri"/>
        <family val="2"/>
        <scheme val="minor"/>
      </rPr>
      <t xml:space="preserve">ikke </t>
    </r>
    <r>
      <rPr>
        <sz val="11"/>
        <color rgb="FF000000"/>
        <rFont val="Calibri"/>
        <family val="2"/>
        <scheme val="minor"/>
      </rPr>
      <t>et vanlig tegn</t>
    </r>
  </si>
  <si>
    <t>4. Dosering av gentamicin</t>
  </si>
  <si>
    <t>5. Tolking av gentamicinspeil</t>
  </si>
  <si>
    <t xml:space="preserve"> </t>
  </si>
  <si>
    <t>5.1. S-gentamicin, 0-prøve</t>
  </si>
  <si>
    <t>Prosedyren skal bidra til å sikre målrettet og pasientsikker bruk av aminoglykocidet gentamicin ved alvorlige infeksjoner og representerer et supplement til føringer gitt i nasjonal retningslinje for antibiotikabruk i sykehus (1).</t>
  </si>
  <si>
    <t xml:space="preserve">Teksten forklarer prinsippene bak Gentacalc. Den skal leses og forstås før Gentacalc tas i bruk. </t>
  </si>
  <si>
    <t xml:space="preserve">:00 </t>
  </si>
  <si>
    <t>8-timersprøve:</t>
  </si>
  <si>
    <t>år</t>
  </si>
  <si>
    <t>Gentacalc</t>
  </si>
  <si>
    <t>Bestill s-gentamicin / Vurder videre bruk av gentamicin</t>
  </si>
  <si>
    <t>Finnes det et bedre alternativ til gentamicin?</t>
  </si>
  <si>
    <t>Overgang til peroral antibiotika?</t>
  </si>
  <si>
    <t>Røntgenkontrast under innleggelsen</t>
  </si>
  <si>
    <r>
      <t xml:space="preserve">Medikamenter i </t>
    </r>
    <r>
      <rPr>
        <i/>
        <sz val="11"/>
        <color theme="1"/>
        <rFont val="Calibri"/>
        <family val="2"/>
        <scheme val="minor"/>
      </rPr>
      <t xml:space="preserve">kursiv; </t>
    </r>
    <r>
      <rPr>
        <sz val="11"/>
        <color theme="1"/>
        <rFont val="Calibri"/>
        <family val="2"/>
        <scheme val="minor"/>
      </rPr>
      <t xml:space="preserve">har også økt oto/-vestibulartoksisitet. </t>
    </r>
  </si>
  <si>
    <t>Tolkning av s-gentamicin, 8-timersprøve</t>
  </si>
  <si>
    <t>Forordning  av gentamicin IV i Metavision</t>
  </si>
  <si>
    <r>
      <t>o å</t>
    </r>
    <r>
      <rPr>
        <sz val="11"/>
        <color rgb="FF000000"/>
        <rFont val="Calibri"/>
        <family val="2"/>
        <scheme val="minor"/>
      </rPr>
      <t xml:space="preserve"> dosere gentamicin inntil neste påkrevede revurdering. Normalt for tre døgn, i noen tilfeller for ett døgn.</t>
    </r>
  </si>
  <si>
    <r>
      <t xml:space="preserve">o </t>
    </r>
    <r>
      <rPr>
        <sz val="11"/>
        <color rgb="FF000000"/>
        <rFont val="Calibri"/>
        <family val="2"/>
        <scheme val="minor"/>
      </rPr>
      <t xml:space="preserve">å rekvirere gentamicinspeil. </t>
    </r>
  </si>
  <si>
    <r>
      <t xml:space="preserve">• </t>
    </r>
    <r>
      <rPr>
        <sz val="11"/>
        <color rgb="FF000000"/>
        <rFont val="Calibri"/>
        <family val="2"/>
        <scheme val="minor"/>
      </rPr>
      <t xml:space="preserve">Legen som starter gentamicin har ansvar for å følge nasjonal antiibotikaveileder (1) med henblikk på indikasjon. </t>
    </r>
  </si>
  <si>
    <r>
      <t xml:space="preserve">• </t>
    </r>
    <r>
      <rPr>
        <sz val="11"/>
        <color rgb="FF000000"/>
        <rFont val="Calibri"/>
        <family val="2"/>
        <scheme val="minor"/>
      </rPr>
      <t xml:space="preserve">Legen som forordner gentamicin i Metavision har ansvaret for: </t>
    </r>
  </si>
  <si>
    <r>
      <t xml:space="preserve">• </t>
    </r>
    <r>
      <rPr>
        <sz val="11"/>
        <color rgb="FF000000"/>
        <rFont val="Calibri"/>
        <family val="2"/>
        <scheme val="minor"/>
      </rPr>
      <t>Behandlende lege på post har ansvaret for oppfølging av gentamicinspeil og ev. videre dosering av gentamicin.</t>
    </r>
  </si>
  <si>
    <t>o å forholde seg til absolutte - og relative kontraindikasjoner mot gentamicin.</t>
  </si>
  <si>
    <t>Kommentar: Slike genetiske mutasjoner er sjeldne, men kan gi plutselig oppstått irreversibel døvhet.(5)</t>
  </si>
  <si>
    <r>
      <t xml:space="preserve">• </t>
    </r>
    <r>
      <rPr>
        <sz val="11"/>
        <color rgb="FF000000"/>
        <rFont val="Calibri"/>
        <family val="2"/>
        <scheme val="minor"/>
      </rPr>
      <t>Gitt aminoglykocider (gentamicin) siste måned</t>
    </r>
  </si>
  <si>
    <r>
      <t xml:space="preserve">• </t>
    </r>
    <r>
      <rPr>
        <sz val="11"/>
        <color rgb="FF000000"/>
        <rFont val="Calibri"/>
        <family val="2"/>
        <scheme val="minor"/>
      </rPr>
      <t>Cisplatin siste 2 mnd. (14; 15)</t>
    </r>
  </si>
  <si>
    <r>
      <t xml:space="preserve">• </t>
    </r>
    <r>
      <rPr>
        <sz val="11"/>
        <color rgb="FF000000"/>
        <rFont val="Calibri"/>
        <family val="2"/>
        <scheme val="minor"/>
      </rPr>
      <t>Behandling med høydose metotreksat og ifosfamid i sarkombehandling (1)</t>
    </r>
  </si>
  <si>
    <r>
      <t xml:space="preserve">• </t>
    </r>
    <r>
      <rPr>
        <sz val="11"/>
        <color rgb="FF000000"/>
        <rFont val="Calibri"/>
        <family val="2"/>
        <scheme val="minor"/>
      </rPr>
      <t>Status etter nyretransplantasjon</t>
    </r>
  </si>
  <si>
    <r>
      <t xml:space="preserve">• </t>
    </r>
    <r>
      <rPr>
        <sz val="11"/>
        <color rgb="FF000000"/>
        <rFont val="Calibri"/>
        <family val="2"/>
        <scheme val="minor"/>
      </rPr>
      <t>Massiv ascites</t>
    </r>
  </si>
  <si>
    <r>
      <t xml:space="preserve">• </t>
    </r>
    <r>
      <rPr>
        <sz val="11"/>
        <color rgb="FF000000"/>
        <rFont val="Calibri"/>
        <family val="2"/>
        <scheme val="minor"/>
      </rPr>
      <t>Myelomatose</t>
    </r>
  </si>
  <si>
    <t xml:space="preserve">  Kommentar: gir endret farmakokintikk for gentamicin (lengre halveringstid).</t>
  </si>
  <si>
    <t xml:space="preserve">  Kommentar: Særlig risiko ved myelomnyrer (frie lette kjeder) eller tidligere episoder med nyresvikt)</t>
  </si>
  <si>
    <t xml:space="preserve">Akutt nyresvikt som følge av gentamicin oppstår vanligvis ved gentamicinbehandling &gt; 5-7 dager.(5) Den vanligste manifestasjonen er non-oligurisk nyresvikt 7-10 dager etter oppstart gentamicin.(9) Nyresvikten begynner først flere dager etter behandlingsstart.(10)  </t>
  </si>
  <si>
    <t xml:space="preserve">Ved signifikant kreatininstigning de første par dagene etter oppstart gentamicin må man lete etter en annen årsak til nyresvikten.  </t>
  </si>
  <si>
    <t xml:space="preserve">På andre indikasjoner enn synergistisk behandling mot endokarditt skal behandlingslengde &gt; 5 døgn alltid konfereres med infeksjonsmedisiner. </t>
  </si>
  <si>
    <r>
      <t xml:space="preserve">Dersom pasienten er ustabil, skal man </t>
    </r>
    <r>
      <rPr>
        <i/>
        <u/>
        <sz val="11"/>
        <color rgb="FF000000"/>
        <rFont val="Calibri"/>
        <family val="2"/>
        <scheme val="minor"/>
      </rPr>
      <t>ikke</t>
    </r>
    <r>
      <rPr>
        <i/>
        <sz val="11"/>
        <color rgb="FF000000"/>
        <rFont val="Calibri"/>
        <family val="2"/>
        <scheme val="minor"/>
      </rPr>
      <t xml:space="preserve"> </t>
    </r>
    <r>
      <rPr>
        <sz val="11"/>
        <color rgb="FF000000"/>
        <rFont val="Calibri"/>
        <family val="2"/>
        <scheme val="minor"/>
      </rPr>
      <t>vente på s-kreatinin før antibiotika gis. Første dose kan vurderes gitt ved akutt nyresvikt (1; 5). Ved grunn til å mistenke alvorlig akutt nyresvikt (pasienter med fulminant flerorgansvikt), anses gentamicin som kontraindisert.(7;8)</t>
    </r>
  </si>
  <si>
    <t xml:space="preserve">*  Hvis ikke, seponer gentamicin. Ved fortsatt behov for gram negativ dekning 24-36 timer etter første dose, gi alternativt antibiotikum. </t>
  </si>
  <si>
    <r>
      <t xml:space="preserve">* Ved signifikant fall i kreatinin </t>
    </r>
    <r>
      <rPr>
        <i/>
        <sz val="11"/>
        <color rgb="FF000000"/>
        <rFont val="Calibri"/>
        <family val="2"/>
        <scheme val="minor"/>
      </rPr>
      <t xml:space="preserve">og </t>
    </r>
    <r>
      <rPr>
        <sz val="11"/>
        <color rgb="FF000000"/>
        <rFont val="Calibri"/>
        <family val="2"/>
        <scheme val="minor"/>
      </rPr>
      <t>GFR &gt; 40 (Cockroft-Gault), fortsett som planlagt.</t>
    </r>
  </si>
  <si>
    <r>
      <t xml:space="preserve">• </t>
    </r>
    <r>
      <rPr>
        <i/>
        <sz val="11"/>
        <color rgb="FF000000"/>
        <rFont val="Calibri"/>
        <family val="2"/>
        <scheme val="minor"/>
      </rPr>
      <t>Absolutte kontraindikasjon</t>
    </r>
    <r>
      <rPr>
        <sz val="11"/>
        <color rgb="FF000000"/>
        <rFont val="Calibri"/>
        <family val="2"/>
        <scheme val="minor"/>
      </rPr>
      <t xml:space="preserve"> vil alltid stå øverst til venstre. Da skal ikke gentamicin gis. </t>
    </r>
  </si>
  <si>
    <t>5.2. S-gentamicin, 8-timersprøve</t>
  </si>
  <si>
    <r>
      <t>·</t>
    </r>
    <r>
      <rPr>
        <sz val="14"/>
        <color theme="1"/>
        <rFont val="Times New Roman"/>
        <family val="1"/>
      </rPr>
      <t xml:space="preserve">         </t>
    </r>
    <r>
      <rPr>
        <sz val="14"/>
        <color theme="1"/>
        <rFont val="Calibri"/>
        <family val="2"/>
        <scheme val="minor"/>
      </rPr>
      <t xml:space="preserve">Hvordan man legger inn forordningen vil være avhengig av om pasienten får 1.dose på «knapp» av sykepleier, altså uten at det er forordnet av lege. </t>
    </r>
  </si>
  <si>
    <t xml:space="preserve"> Eller om legen legger inn forordningen også for 1.dose.</t>
  </si>
  <si>
    <t>•         Her er det viktig med god kommunikasjon slik at lege ikke dobbeltforordner der 1.dose er gitt på «knapp» av sykepleier.</t>
  </si>
  <si>
    <t>Valg måt vekt vs ABW</t>
  </si>
  <si>
    <t>BMI over/under 30</t>
  </si>
  <si>
    <t>Bmi over/under 30</t>
  </si>
  <si>
    <t xml:space="preserve">skilt ved BMI &gt;30&lt; </t>
  </si>
  <si>
    <t>µmol/L</t>
  </si>
  <si>
    <t xml:space="preserve">  Det gis videre anbefalinger om behandling for de neste tre døgn og når gentamicin skal bestilles. Øvrige kommentarer dukker opp nederst til høyre i særlige tilfeller. </t>
  </si>
  <si>
    <r>
      <rPr>
        <b/>
        <sz val="13"/>
        <color theme="1"/>
        <rFont val="Calibri"/>
        <family val="2"/>
        <scheme val="minor"/>
      </rPr>
      <t>Nefrotoksisk byrde*  (16)</t>
    </r>
    <r>
      <rPr>
        <b/>
        <sz val="14"/>
        <color theme="1"/>
        <rFont val="Calibri"/>
        <family val="2"/>
        <scheme val="minor"/>
      </rPr>
      <t xml:space="preserve">
</t>
    </r>
    <r>
      <rPr>
        <sz val="11"/>
        <color theme="1"/>
        <rFont val="Calibri"/>
        <family val="2"/>
        <scheme val="minor"/>
      </rPr>
      <t>Summen av flere risikofaktorer definerer nefrotoksisk byrde. Yngre pasienter tåler høyere byrde.</t>
    </r>
  </si>
  <si>
    <r>
      <t>•</t>
    </r>
    <r>
      <rPr>
        <u/>
        <sz val="11"/>
        <color rgb="FF000000"/>
        <rFont val="Calibri"/>
        <family val="2"/>
        <scheme val="minor"/>
      </rPr>
      <t>Gram positiv dekning, kombinasjonsbehandling.</t>
    </r>
    <r>
      <rPr>
        <sz val="11"/>
        <color rgb="FF000000"/>
        <rFont val="Calibri"/>
        <family val="2"/>
        <scheme val="minor"/>
      </rPr>
      <t xml:space="preserve"> Del av kombinasjonsbehandling ved behandling av enkelte gram positive kokker. Gir </t>
    </r>
    <r>
      <rPr>
        <i/>
        <sz val="11"/>
        <color rgb="FF000000"/>
        <rFont val="Calibri"/>
        <family val="2"/>
        <scheme val="minor"/>
      </rPr>
      <t>synergistisk</t>
    </r>
    <r>
      <rPr>
        <sz val="11"/>
        <color rgb="FF000000"/>
        <rFont val="Calibri"/>
        <family val="2"/>
        <scheme val="minor"/>
      </rPr>
      <t xml:space="preserve"> </t>
    </r>
    <r>
      <rPr>
        <i/>
        <sz val="11"/>
        <color rgb="FF000000"/>
        <rFont val="Calibri"/>
        <family val="2"/>
        <scheme val="minor"/>
      </rPr>
      <t>effekt</t>
    </r>
    <r>
      <rPr>
        <sz val="11"/>
        <color rgb="FF000000"/>
        <rFont val="Calibri"/>
        <family val="2"/>
        <scheme val="minor"/>
      </rPr>
      <t xml:space="preserve"> når den kombineres med et annet antibiotikum (betalaktam).</t>
    </r>
  </si>
  <si>
    <t xml:space="preserve"> Vanlige eksempler er enkelte endokarditter med gule stafylokokker, enterokokker og streptokokker.</t>
  </si>
  <si>
    <t xml:space="preserve">Kommentar: Man er særlig utsatt for forverring av nyresvikt ved habituell GFR &lt; 30. (3) De norske retninglinjene har endret grensen for kontraindikasjon fra GFR 40 til GFR 30.(1)  </t>
  </si>
  <si>
    <t xml:space="preserve">I Gentacalc har vi valgt å sette grensen på GFR 40 for å redusere risiko for toksistet hos sårbare pasientgrupper og der annen potensielt nefrotoksisk behandling er gitt. </t>
  </si>
  <si>
    <t xml:space="preserve">  Kommentar: gentamicin oppkonsentreres i nyrene. Gjentatt kur kort tid etter den forrige øker risikoen for toksisitet. Summen av antall doser innenfor en måned er den begrensende faktoren.</t>
  </si>
  <si>
    <t xml:space="preserve"> Dersom det for eksempel er vurdert at pasienten vil tåle 5 doser og 2 doser er gitt ved forrige innleggelse, kan 3 doser gis ved neste innleggelse.</t>
  </si>
  <si>
    <t xml:space="preserve">  Kommentar: Anbefalingene er lite konkrete i litteraturen. Det er funnet cisplatin i nyrevev i opptil 6 mnd etter siste administrering. Frigjøring av cisplatin fra vev har antakelig større betydning. Det  forekommer trolig kun i 3-4 uker. </t>
  </si>
  <si>
    <t xml:space="preserve">Det er her satt 2 mnd for å ha en sikkerhetsmargin (15). Det er lavere risiko for karboplatin.  </t>
  </si>
  <si>
    <t xml:space="preserve">Kommentar: Endret farmakokinetikk (økt renal utskillelse) mot slutten av graviditeten gir risiko for underbehandling. Det har vært rapportert føtal ototoksisitet ved bruk av enkelte aminoglykosider, men det finnes ingen rapporter på ototoksisitet etter bruk av gentamicin eller tobramycin (1). </t>
  </si>
  <si>
    <t>Enkeltdose med gentamicin gir trolig liten risiko. (1; 5)</t>
  </si>
  <si>
    <t xml:space="preserve">Mest aktuelt ved endokardittbehandling. Insidensen er usikker, men trolig lav ved moderne, kortvarig behandling. (11) Viktigste risikofaktorer kan være genetisk disposisjon (sjelden).(12) </t>
  </si>
  <si>
    <t>Øvrige risikofaktorer overlapper med risikofaktorene for nefrotoksisitet, inkludert lang behandling &gt; 10 dager.(12)</t>
  </si>
  <si>
    <t>Nasjonal veileder anbefaler at gentamicin fra og med andre dose tilpasses til å kunne gis kl 12. (1) Det er også anbefalt at doseringsintervallet skal utvides hvis GFR er mellom 40 og 60.(1; 5; 13) Gentamicin har et smalt terapeutisk vindu.</t>
  </si>
  <si>
    <t xml:space="preserve"> Ved å taste inn noen få parametere vil Gentacalc hjelpe deg med korrekt dosering for de neste 3 døgnene. </t>
  </si>
  <si>
    <r>
      <t xml:space="preserve">• </t>
    </r>
    <r>
      <rPr>
        <i/>
        <sz val="11"/>
        <color rgb="FF000000"/>
        <rFont val="Calibri"/>
        <family val="2"/>
        <scheme val="minor"/>
      </rPr>
      <t>Relative kontraindikasjoner</t>
    </r>
    <r>
      <rPr>
        <sz val="11"/>
        <color rgb="FF000000"/>
        <rFont val="Calibri"/>
        <family val="2"/>
        <scheme val="minor"/>
      </rPr>
      <t xml:space="preserve"> vises øverst til høyre. Én dose kan gis. Bytt til et alternativt antibiotikaregime først etter 24 timer hvis det fremdeles er behov for dekning mot gram negative bakterier. </t>
    </r>
  </si>
  <si>
    <t xml:space="preserve">             Ved massiv ascites gis et alternativt regime allerede etter 12 timer (pga endret farmakokinetikk). </t>
  </si>
  <si>
    <t xml:space="preserve">Kalkulatoren anbefaler også gentaspeil for de med GFR 40-60, selv om disse pasientene normalt ikke skal ha gentamicin utover 72 timer (to doser). Speilet er ment som en påminnelse til postlege om at antibiotika må revurderes. </t>
  </si>
  <si>
    <t xml:space="preserve"> For de med GFR 40-60, vil speilet i noen tilfeller bli anbefalt rekvirert for tidlig, slik at verdien kan bli kunstig høy.</t>
  </si>
  <si>
    <t xml:space="preserve">GRF ved BMI 29,9 med cock-gault </t>
  </si>
  <si>
    <t xml:space="preserve">Valgt mellom bergenet </t>
  </si>
  <si>
    <t>GFR og GFR m BMI 29,9</t>
  </si>
  <si>
    <t xml:space="preserve">Beregnet GFR m/målt </t>
  </si>
  <si>
    <t>vekt</t>
  </si>
  <si>
    <t>TBW ved IDWx1,249</t>
  </si>
  <si>
    <t>Vekt brukt inn i C-G</t>
  </si>
  <si>
    <t xml:space="preserve">Ikke lenger behov for gram negativ dekning/synergisme? </t>
  </si>
  <si>
    <t>Er videre genatmicinbehandling frarådet?</t>
  </si>
  <si>
    <t xml:space="preserve">      Hvis ja</t>
  </si>
  <si>
    <t xml:space="preserve">Hvis nei </t>
  </si>
  <si>
    <t>≤ 0,5 mg/L</t>
  </si>
  <si>
    <t>Kommentar (1, 5 ,14)</t>
  </si>
  <si>
    <t>&gt; 0,5 mg/L</t>
  </si>
  <si>
    <t>Under terapeutisk området</t>
  </si>
  <si>
    <t>Innenfor terapeutisk område</t>
  </si>
  <si>
    <r>
      <rPr>
        <u/>
        <sz val="11"/>
        <color theme="1"/>
        <rFont val="Calibri"/>
        <family val="2"/>
        <scheme val="minor"/>
      </rPr>
      <t>Stabile pasienter:</t>
    </r>
    <r>
      <rPr>
        <sz val="11"/>
        <color theme="1"/>
        <rFont val="Calibri"/>
        <family val="2"/>
        <scheme val="minor"/>
      </rPr>
      <t xml:space="preserve">
Dosen vurderes økt. Konferer evt. infeksjonsmedisiner på dagtid. 
</t>
    </r>
    <r>
      <rPr>
        <u/>
        <sz val="11"/>
        <color theme="1"/>
        <rFont val="Calibri"/>
        <family val="2"/>
        <scheme val="minor"/>
      </rPr>
      <t>Septiske pasienter:</t>
    </r>
    <r>
      <rPr>
        <sz val="11"/>
        <color theme="1"/>
        <rFont val="Calibri"/>
        <family val="2"/>
        <scheme val="minor"/>
      </rPr>
      <t xml:space="preserve"> 
Bytt straks til alternativ sepsisbehandling som f.eks. cefotaxim eller piperacillin/tazobactam. Konferer infeksjonsmedisiner på dagtid. </t>
    </r>
  </si>
  <si>
    <t>Over terapeutisk område</t>
  </si>
  <si>
    <t>Vurder seponering, forlenget intervall mellom doser eller dosereduksjon.
Konferer evt. infeksjonsmedisiner på dagtid.</t>
  </si>
  <si>
    <t>Nomogrammen følger ikke anbefalingene fra tabellen over helt nøyaktig. Konferer evt. infekjsonsmedisiner på dagtid.</t>
  </si>
  <si>
    <r>
      <rPr>
        <b/>
        <sz val="11"/>
        <color theme="1"/>
        <rFont val="Calibri"/>
        <family val="2"/>
        <scheme val="minor"/>
      </rPr>
      <t>Under følger nomogrammer som kan være til hjelp dersom 8-timersprøve er tatt på annet tidspunkt enn etter 8 timer.</t>
    </r>
    <r>
      <rPr>
        <sz val="11"/>
        <color theme="1"/>
        <rFont val="Calibri"/>
        <family val="2"/>
        <scheme val="minor"/>
      </rPr>
      <t xml:space="preserve">
</t>
    </r>
  </si>
  <si>
    <r>
      <t xml:space="preserve">Prosedyren deler inn i </t>
    </r>
    <r>
      <rPr>
        <i/>
        <sz val="11"/>
        <color rgb="FF000000"/>
        <rFont val="Calibri"/>
        <family val="2"/>
        <scheme val="minor"/>
      </rPr>
      <t>kontraindikasjoner</t>
    </r>
    <r>
      <rPr>
        <sz val="11"/>
        <color rgb="FF000000"/>
        <rFont val="Calibri"/>
        <family val="2"/>
        <scheme val="minor"/>
      </rPr>
      <t xml:space="preserve"> (aminoglykosider skal ikke gis), </t>
    </r>
    <r>
      <rPr>
        <i/>
        <sz val="11"/>
        <color rgb="FF000000"/>
        <rFont val="Calibri"/>
        <family val="2"/>
        <scheme val="minor"/>
      </rPr>
      <t>relative kontraindikasjoner</t>
    </r>
    <r>
      <rPr>
        <sz val="11"/>
        <color rgb="FF000000"/>
        <rFont val="Calibri"/>
        <family val="2"/>
        <scheme val="minor"/>
      </rPr>
      <t xml:space="preserve"> (én dose kan gis) og </t>
    </r>
    <r>
      <rPr>
        <i/>
        <sz val="11"/>
        <color rgb="FF000000"/>
        <rFont val="Calibri"/>
        <family val="2"/>
        <scheme val="minor"/>
      </rPr>
      <t>gis med forsiktighet</t>
    </r>
    <r>
      <rPr>
        <sz val="11"/>
        <color rgb="FF000000"/>
        <rFont val="Calibri"/>
        <family val="2"/>
        <scheme val="minor"/>
      </rPr>
      <t xml:space="preserve"> (ikke behandling &gt; 3 døgn). Behandling &gt; 3 døgn gis først etter vurdering av samlet "nefrotoksisk byrde" og gentamicinspeil</t>
    </r>
  </si>
  <si>
    <t>Sier noe om akkumulering av gentamicin (toksisitet). Tas kl 08.00 før behandling videreføres &gt; 3 døgn (normalt før 4. dose). Skal vurderes av lege før neste dose gentamicin gis. Gentamicinspeilet vurderes sammen med samlet "nefrotoksisk byrde".</t>
  </si>
  <si>
    <t>Gentamicinspeil &lt; 0,5 reduserer, men eliminerer ikke, risikoen for nyresvikt. Høy alder og mange doser gentamicin er særlig viktige risikofaktorer for nefrotoksisitet.(5) Se "Tolkning s-gentamicin, 0-prøve".</t>
  </si>
  <si>
    <r>
      <t xml:space="preserve">Videre dosering ikke høyere dose enn 5 mg/kg. 
Behandling kan vurderes gitt i ytterligere 48 timer før nytt gentamicinspeil tas. 
Behandling  &gt; 5 døgn skal gjøres i samråd med infeksjonslege.
</t>
    </r>
    <r>
      <rPr>
        <u/>
        <sz val="11"/>
        <color theme="1"/>
        <rFont val="Calibri"/>
        <family val="2"/>
        <scheme val="minor"/>
      </rPr>
      <t>Ved endokarditt</t>
    </r>
    <r>
      <rPr>
        <sz val="11"/>
        <color theme="1"/>
        <rFont val="Calibri"/>
        <family val="2"/>
        <scheme val="minor"/>
      </rPr>
      <t>: Gitt uendret kreatinin, fortsett behandling uendret. S-gentamicin kan måles x 3 per uke.</t>
    </r>
  </si>
  <si>
    <r>
      <t xml:space="preserve">Vurder seponering, forlenget intervall mellom doser eller dosereduksjon. 
Terskelen for å seponere gentamicin avhenger av nefrotoksiks byrde.
</t>
    </r>
    <r>
      <rPr>
        <u/>
        <sz val="11"/>
        <color theme="1"/>
        <rFont val="Calibri"/>
        <family val="2"/>
        <scheme val="minor"/>
      </rPr>
      <t>Ved endokarditt:</t>
    </r>
    <r>
      <rPr>
        <sz val="11"/>
        <color theme="1"/>
        <rFont val="Calibri"/>
        <family val="2"/>
        <scheme val="minor"/>
      </rPr>
      <t xml:space="preserve"> Reduser dosen. Følg kreatinin og gentamicinspeil daglig over en periode.  
Dersom s-gentamicin &gt; 0,5 flere dager på rad, konferer infeksjonslege.</t>
    </r>
  </si>
  <si>
    <t xml:space="preserve">Beregnet GFR vises som &gt;90. </t>
  </si>
  <si>
    <r>
      <t xml:space="preserve">• </t>
    </r>
    <r>
      <rPr>
        <sz val="11"/>
        <color rgb="FF000000"/>
        <rFont val="Calibri"/>
        <family val="2"/>
        <scheme val="minor"/>
      </rPr>
      <t xml:space="preserve">Kalkulatoren benytter adjustet body weight hos overvektige pasienter(1; 5; 13). GFR estimeres ut i fra Cockroft-Gault. (5; 13). </t>
    </r>
  </si>
  <si>
    <t xml:space="preserve">   Pasienter med amputasjoner, lammelser, anoreksi og frailty kan få kunstig høy GFR (fare for overdosering). Råd om dosering justeres hos pasienter &gt; 80 år(5) </t>
  </si>
  <si>
    <t xml:space="preserve">   Estimert GFR ut i fra kreatinin forutsetter normal muskelmasse. Kroppsbyggere vil kunne få kunstig lav GFR (fare for underdosering). </t>
  </si>
  <si>
    <t xml:space="preserve">Brukes til å kartlegge doseringsintervall/dose. Prøven tas 8 timer etter første dose. Dersom det er &lt; 8 timer til neste planlagte dose, tas «8-timersprøven» rett før neste dose gis. </t>
  </si>
  <si>
    <t xml:space="preserve">Prøven skal vurderes av lege på vakt hos sepsispasienter og av visittlege hos stabile pasienter. Se arkfane «Tolkning s-gentamicin, 8t-prøve». </t>
  </si>
  <si>
    <t xml:space="preserve">8-timersprøve er aktuelt hos </t>
  </si>
  <si>
    <r>
      <t>-</t>
    </r>
    <r>
      <rPr>
        <sz val="7"/>
        <color theme="1"/>
        <rFont val="Times New Roman"/>
        <family val="1"/>
      </rPr>
      <t xml:space="preserve">        </t>
    </r>
    <r>
      <rPr>
        <u/>
        <sz val="11"/>
        <color theme="1"/>
        <rFont val="Calibri"/>
        <family val="2"/>
        <scheme val="minor"/>
      </rPr>
      <t>Overvektige.</t>
    </r>
    <r>
      <rPr>
        <sz val="11"/>
        <color theme="1"/>
        <rFont val="Calibri"/>
        <family val="2"/>
        <scheme val="minor"/>
      </rPr>
      <t xml:space="preserve"> Vurderes tatt ved BMI &gt; 30 og høy nefrotoksisk byrde. Ved BMI &gt; 35 er 8-timersprøve obligatorisk, og kalkulatoren vil varsle i disse tilfellene. </t>
    </r>
  </si>
  <si>
    <r>
      <t>-</t>
    </r>
    <r>
      <rPr>
        <sz val="7"/>
        <color theme="1"/>
        <rFont val="Times New Roman"/>
        <family val="1"/>
      </rPr>
      <t xml:space="preserve">        </t>
    </r>
    <r>
      <rPr>
        <u/>
        <sz val="11"/>
        <color theme="1"/>
        <rFont val="Calibri"/>
        <family val="2"/>
        <scheme val="minor"/>
      </rPr>
      <t>Maternell sepsis.</t>
    </r>
    <r>
      <rPr>
        <sz val="11"/>
        <color theme="1"/>
        <rFont val="Calibri"/>
        <family val="2"/>
        <scheme val="minor"/>
      </rPr>
      <t xml:space="preserve"> Økt renal utskillelse i forbindelse med graviditet, fare for underbehandling. </t>
    </r>
  </si>
  <si>
    <t>4.1. Bruk av Gentacalc</t>
  </si>
  <si>
    <t>3.4. Kommentarer til nefrotoksisitet</t>
  </si>
  <si>
    <t>3.5. Dosering av gentamicin ved akutt nyresvikt</t>
  </si>
  <si>
    <r>
      <t xml:space="preserve">3.5.1. Forklaring til </t>
    </r>
    <r>
      <rPr>
        <b/>
        <sz val="11"/>
        <color rgb="FFFF0000"/>
        <rFont val="Calibri"/>
        <family val="2"/>
        <scheme val="minor"/>
      </rPr>
      <t>bruk habituell kreatinin</t>
    </r>
    <r>
      <rPr>
        <sz val="11"/>
        <color rgb="FFFF0000"/>
        <rFont val="Calibri"/>
        <family val="2"/>
        <scheme val="minor"/>
      </rPr>
      <t> </t>
    </r>
  </si>
  <si>
    <t>3.6. Oto- og vestibulotoksisitet</t>
  </si>
  <si>
    <r>
      <t>-      </t>
    </r>
    <r>
      <rPr>
        <u/>
        <sz val="11"/>
        <color theme="1"/>
        <rFont val="Calibri"/>
        <family val="2"/>
        <scheme val="minor"/>
      </rPr>
      <t>Endret muskelmasse.</t>
    </r>
    <r>
      <rPr>
        <sz val="11"/>
        <color theme="1"/>
        <rFont val="Calibri"/>
        <family val="2"/>
        <scheme val="minor"/>
      </rPr>
      <t xml:space="preserve"> Se punkt 4.1. Særlig aktuelt hos de med høy nefrotoksisk byrde.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</si>
</sst>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4" x14ac:knownFonts="1">
    <font>
      <sz val="11"/>
      <color theme="1"/>
      <name val="Calibri"/>
      <family val="2"/>
      <scheme val="minor"/>
    </font>
    <font>
      <b/>
      <sz val="11"/>
      <color theme="1"/>
      <name val="Calibri"/>
      <family val="2"/>
      <scheme val="minor"/>
    </font>
    <font>
      <b/>
      <sz val="12"/>
      <color theme="1"/>
      <name val="Calibri"/>
      <family val="2"/>
      <scheme val="minor"/>
    </font>
    <font>
      <b/>
      <sz val="11"/>
      <color rgb="FF000000"/>
      <name val="Calibri"/>
      <family val="2"/>
      <scheme val="minor"/>
    </font>
    <font>
      <b/>
      <sz val="11"/>
      <color rgb="FFFF0000"/>
      <name val="Calibri"/>
      <family val="2"/>
      <scheme val="minor"/>
    </font>
    <font>
      <b/>
      <sz val="12"/>
      <color rgb="FFFF0000"/>
      <name val="Calibri"/>
      <family val="2"/>
      <scheme val="minor"/>
    </font>
    <font>
      <b/>
      <u/>
      <sz val="13"/>
      <color theme="1"/>
      <name val="Calibri"/>
      <family val="2"/>
      <scheme val="minor"/>
    </font>
    <font>
      <b/>
      <sz val="13"/>
      <color theme="1"/>
      <name val="Calibri"/>
      <family val="2"/>
      <scheme val="minor"/>
    </font>
    <font>
      <b/>
      <u/>
      <sz val="14"/>
      <color theme="1"/>
      <name val="Calibri"/>
      <family val="2"/>
      <scheme val="minor"/>
    </font>
    <font>
      <b/>
      <sz val="14"/>
      <color theme="1"/>
      <name val="Calibri"/>
      <family val="2"/>
      <scheme val="minor"/>
    </font>
    <font>
      <b/>
      <sz val="20"/>
      <color theme="1"/>
      <name val="Calibri"/>
      <family val="2"/>
      <scheme val="minor"/>
    </font>
    <font>
      <b/>
      <sz val="16"/>
      <color theme="1"/>
      <name val="Calibri"/>
      <family val="2"/>
      <scheme val="minor"/>
    </font>
    <font>
      <sz val="14"/>
      <color theme="1"/>
      <name val="Calibri"/>
      <family val="2"/>
      <scheme val="minor"/>
    </font>
    <font>
      <sz val="14"/>
      <color theme="1"/>
      <name val="Symbol"/>
      <family val="1"/>
      <charset val="2"/>
    </font>
    <font>
      <sz val="14"/>
      <color theme="1"/>
      <name val="Times New Roman"/>
      <family val="1"/>
    </font>
    <font>
      <u/>
      <sz val="14"/>
      <color theme="1"/>
      <name val="Calibri"/>
      <family val="2"/>
      <scheme val="minor"/>
    </font>
    <font>
      <b/>
      <u/>
      <sz val="20"/>
      <color theme="1"/>
      <name val="Calibri"/>
      <family val="2"/>
      <scheme val="minor"/>
    </font>
    <font>
      <sz val="9"/>
      <name val="Tahoma"/>
      <family val="2"/>
    </font>
    <font>
      <i/>
      <sz val="11"/>
      <color theme="1"/>
      <name val="Calibri"/>
      <family val="2"/>
      <scheme val="minor"/>
    </font>
    <font>
      <b/>
      <sz val="26"/>
      <color theme="1"/>
      <name val="Calibri"/>
      <family val="2"/>
      <scheme val="minor"/>
    </font>
    <font>
      <u/>
      <sz val="11"/>
      <color theme="1"/>
      <name val="Calibri"/>
      <family val="2"/>
      <scheme val="minor"/>
    </font>
    <font>
      <b/>
      <u/>
      <sz val="12"/>
      <color theme="1"/>
      <name val="Calibri"/>
      <family val="2"/>
      <scheme val="minor"/>
    </font>
    <font>
      <sz val="12"/>
      <color theme="1"/>
      <name val="Calibri"/>
      <family val="2"/>
      <scheme val="minor"/>
    </font>
    <font>
      <u/>
      <sz val="11"/>
      <color theme="10"/>
      <name val="Calibri"/>
      <family val="2"/>
      <scheme val="minor"/>
    </font>
    <font>
      <sz val="11"/>
      <color rgb="FFFF0000"/>
      <name val="Calibri"/>
      <family val="2"/>
      <scheme val="minor"/>
    </font>
    <font>
      <sz val="24"/>
      <color rgb="FF000000"/>
      <name val="Calibri"/>
      <family val="2"/>
      <scheme val="minor"/>
    </font>
    <font>
      <sz val="12"/>
      <color rgb="FF000000"/>
      <name val="Calibri"/>
      <family val="2"/>
      <scheme val="minor"/>
    </font>
    <font>
      <sz val="11"/>
      <color rgb="FF000000"/>
      <name val="Calibri"/>
      <family val="2"/>
      <scheme val="minor"/>
    </font>
    <font>
      <sz val="11"/>
      <color theme="1"/>
      <name val="Arial"/>
      <family val="2"/>
    </font>
    <font>
      <u/>
      <sz val="11"/>
      <color rgb="FF000000"/>
      <name val="Calibri"/>
      <family val="2"/>
      <scheme val="minor"/>
    </font>
    <font>
      <i/>
      <sz val="11"/>
      <color rgb="FF000000"/>
      <name val="Calibri"/>
      <family val="2"/>
      <scheme val="minor"/>
    </font>
    <font>
      <i/>
      <u/>
      <sz val="11"/>
      <color rgb="FF000000"/>
      <name val="Calibri"/>
      <family val="2"/>
      <scheme val="minor"/>
    </font>
    <font>
      <b/>
      <u/>
      <sz val="11"/>
      <color rgb="FFFF0000"/>
      <name val="Calibri"/>
      <family val="2"/>
      <scheme val="minor"/>
    </font>
    <font>
      <sz val="7"/>
      <color theme="1"/>
      <name val="Times New Roman"/>
      <family val="1"/>
    </font>
  </fonts>
  <fills count="13">
    <fill>
      <patternFill patternType="none"/>
    </fill>
    <fill>
      <patternFill patternType="gray125"/>
    </fill>
    <fill>
      <patternFill patternType="solid">
        <fgColor theme="4" tint="0.39997558519241921"/>
        <bgColor indexed="64"/>
      </patternFill>
    </fill>
    <fill>
      <patternFill patternType="solid">
        <fgColor theme="4" tint="0.599963377788628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79995117038483843"/>
        <bgColor indexed="64"/>
      </patternFill>
    </fill>
    <fill>
      <patternFill patternType="solid">
        <fgColor theme="8" tint="0.79995117038483843"/>
        <bgColor indexed="64"/>
      </patternFill>
    </fill>
    <fill>
      <patternFill patternType="solid">
        <fgColor theme="4"/>
        <bgColor indexed="64"/>
      </patternFill>
    </fill>
    <fill>
      <patternFill patternType="solid">
        <fgColor theme="7" tint="0.59996337778862885"/>
        <bgColor indexed="64"/>
      </patternFill>
    </fill>
    <fill>
      <patternFill patternType="solid">
        <fgColor theme="4" tint="0.79995117038483843"/>
        <bgColor indexed="64"/>
      </patternFill>
    </fill>
    <fill>
      <patternFill patternType="solid">
        <fgColor theme="0"/>
        <bgColor indexed="64"/>
      </patternFill>
    </fill>
  </fills>
  <borders count="18">
    <border>
      <left/>
      <right/>
      <top/>
      <bottom/>
      <diagonal/>
    </border>
    <border>
      <left/>
      <right/>
      <top/>
      <bottom style="thin">
        <color auto="1"/>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medium">
        <color auto="1"/>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auto="1"/>
      </left>
      <right style="medium">
        <color auto="1"/>
      </right>
      <top/>
      <bottom style="medium">
        <color auto="1"/>
      </bottom>
      <diagonal/>
    </border>
    <border>
      <left/>
      <right/>
      <top/>
      <bottom style="medium">
        <color auto="1"/>
      </bottom>
      <diagonal/>
    </border>
    <border>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style="medium">
        <color auto="1"/>
      </top>
      <bottom/>
      <diagonal/>
    </border>
    <border>
      <left/>
      <right style="medium">
        <color auto="1"/>
      </right>
      <top/>
      <bottom style="medium">
        <color auto="1"/>
      </bottom>
      <diagonal/>
    </border>
    <border>
      <left/>
      <right/>
      <top style="medium">
        <color auto="1"/>
      </top>
      <bottom style="medium">
        <color auto="1"/>
      </bottom>
      <diagonal/>
    </border>
  </borders>
  <cellStyleXfs count="2">
    <xf numFmtId="0" fontId="0" fillId="0" borderId="0"/>
    <xf numFmtId="0" fontId="23" fillId="0" borderId="0" applyNumberFormat="0" applyFill="0" applyBorder="0" applyAlignment="0" applyProtection="0"/>
  </cellStyleXfs>
  <cellXfs count="186">
    <xf numFmtId="0" fontId="0" fillId="0" borderId="0" xfId="0"/>
    <xf numFmtId="0" fontId="0" fillId="0" borderId="9" xfId="0" applyBorder="1" applyAlignment="1">
      <alignment wrapText="1"/>
    </xf>
    <xf numFmtId="0" fontId="0" fillId="0" borderId="12" xfId="0" applyBorder="1" applyAlignment="1">
      <alignment wrapText="1"/>
    </xf>
    <xf numFmtId="0" fontId="0" fillId="0" borderId="6" xfId="0" applyBorder="1" applyAlignment="1">
      <alignment wrapText="1"/>
    </xf>
    <xf numFmtId="0" fontId="0" fillId="0" borderId="8" xfId="0" applyBorder="1" applyAlignment="1">
      <alignment wrapText="1"/>
    </xf>
    <xf numFmtId="0" fontId="0" fillId="0" borderId="7" xfId="0" applyBorder="1" applyAlignment="1">
      <alignment wrapText="1"/>
    </xf>
    <xf numFmtId="0" fontId="1" fillId="0" borderId="0" xfId="0" applyFont="1" applyAlignment="1">
      <alignment horizontal="left"/>
    </xf>
    <xf numFmtId="0" fontId="6" fillId="3" borderId="0" xfId="0" applyFont="1" applyFill="1" applyAlignment="1">
      <alignment horizontal="left" wrapText="1"/>
    </xf>
    <xf numFmtId="0" fontId="5" fillId="4" borderId="2" xfId="0" applyFont="1" applyFill="1" applyBorder="1"/>
    <xf numFmtId="0" fontId="5" fillId="4" borderId="17" xfId="0" applyFont="1" applyFill="1" applyBorder="1"/>
    <xf numFmtId="0" fontId="5" fillId="4" borderId="3" xfId="0" applyFont="1" applyFill="1" applyBorder="1"/>
    <xf numFmtId="0" fontId="19" fillId="9" borderId="0" xfId="0" applyFont="1" applyFill="1" applyAlignment="1">
      <alignment horizontal="center" vertical="center"/>
    </xf>
    <xf numFmtId="0" fontId="1" fillId="4" borderId="2" xfId="0" applyFont="1" applyFill="1" applyBorder="1" applyAlignment="1">
      <alignment vertical="top" wrapText="1"/>
    </xf>
    <xf numFmtId="0" fontId="1" fillId="4" borderId="17" xfId="0" applyFont="1" applyFill="1" applyBorder="1" applyAlignment="1">
      <alignment vertical="top" wrapText="1"/>
    </xf>
    <xf numFmtId="0" fontId="1" fillId="4" borderId="3" xfId="0" applyFont="1" applyFill="1" applyBorder="1" applyAlignment="1">
      <alignment vertical="top" wrapText="1"/>
    </xf>
    <xf numFmtId="0" fontId="1" fillId="2" borderId="0" xfId="0" applyFont="1" applyFill="1" applyAlignment="1">
      <alignment horizontal="left" vertical="center" wrapText="1"/>
    </xf>
    <xf numFmtId="0" fontId="1" fillId="3" borderId="0" xfId="0" applyFont="1" applyFill="1" applyAlignment="1">
      <alignment horizontal="left" vertical="center" wrapText="1"/>
    </xf>
    <xf numFmtId="0" fontId="0" fillId="3" borderId="0" xfId="0" applyFill="1"/>
    <xf numFmtId="0" fontId="1" fillId="4" borderId="0" xfId="0" applyFont="1" applyFill="1" applyAlignment="1">
      <alignment horizontal="left" vertical="center" wrapText="1"/>
    </xf>
    <xf numFmtId="0" fontId="0" fillId="4" borderId="0" xfId="0" applyFill="1"/>
    <xf numFmtId="0" fontId="0" fillId="5" borderId="0" xfId="0" applyFill="1"/>
    <xf numFmtId="0" fontId="0" fillId="2" borderId="0" xfId="0" applyFill="1"/>
    <xf numFmtId="0" fontId="0" fillId="6" borderId="0" xfId="0" applyFill="1"/>
    <xf numFmtId="0" fontId="0" fillId="7" borderId="0" xfId="0" applyFill="1"/>
    <xf numFmtId="0" fontId="0" fillId="8" borderId="1" xfId="0" applyFill="1" applyBorder="1"/>
    <xf numFmtId="0" fontId="0" fillId="8" borderId="0" xfId="0" applyFill="1"/>
    <xf numFmtId="0" fontId="0" fillId="9" borderId="0" xfId="0" applyFill="1"/>
    <xf numFmtId="0" fontId="0" fillId="10" borderId="0" xfId="0" applyFill="1"/>
    <xf numFmtId="0" fontId="0" fillId="3" borderId="2" xfId="0" applyFill="1" applyBorder="1"/>
    <xf numFmtId="0" fontId="1" fillId="3" borderId="3" xfId="0" applyFont="1" applyFill="1" applyBorder="1"/>
    <xf numFmtId="0" fontId="1" fillId="4" borderId="0" xfId="0" applyFont="1" applyFill="1" applyAlignment="1">
      <alignment horizontal="left" vertical="center"/>
    </xf>
    <xf numFmtId="0" fontId="0" fillId="4" borderId="3" xfId="0" applyFill="1" applyBorder="1"/>
    <xf numFmtId="0" fontId="0" fillId="4" borderId="2" xfId="0" applyFill="1" applyBorder="1"/>
    <xf numFmtId="0" fontId="4" fillId="4" borderId="0" xfId="0" applyFont="1" applyFill="1" applyAlignment="1">
      <alignment wrapText="1"/>
    </xf>
    <xf numFmtId="0" fontId="3" fillId="4" borderId="0" xfId="0" applyFont="1" applyFill="1" applyAlignment="1">
      <alignment vertical="top" wrapText="1"/>
    </xf>
    <xf numFmtId="0" fontId="0" fillId="4" borderId="4" xfId="0" applyFill="1" applyBorder="1" applyAlignment="1">
      <alignment horizontal="center" vertical="center"/>
    </xf>
    <xf numFmtId="0" fontId="0" fillId="4" borderId="4" xfId="0" applyFill="1" applyBorder="1" applyAlignment="1">
      <alignment horizontal="center"/>
    </xf>
    <xf numFmtId="1" fontId="0" fillId="0" borderId="0" xfId="0" quotePrefix="1" applyNumberFormat="1"/>
    <xf numFmtId="2" fontId="0" fillId="10" borderId="0" xfId="0" applyNumberFormat="1" applyFill="1"/>
    <xf numFmtId="0" fontId="0" fillId="0" borderId="5" xfId="0" applyBorder="1"/>
    <xf numFmtId="0" fontId="0" fillId="3" borderId="6" xfId="0" applyFill="1" applyBorder="1" applyAlignment="1">
      <alignment horizontal="center" wrapText="1"/>
    </xf>
    <xf numFmtId="0" fontId="0" fillId="0" borderId="0" xfId="0" applyAlignment="1">
      <alignment wrapText="1"/>
    </xf>
    <xf numFmtId="0" fontId="0" fillId="3" borderId="2" xfId="0" applyFill="1" applyBorder="1" applyProtection="1">
      <protection hidden="1"/>
    </xf>
    <xf numFmtId="0" fontId="0" fillId="0" borderId="0" xfId="0" quotePrefix="1"/>
    <xf numFmtId="0" fontId="1" fillId="2" borderId="0" xfId="0" applyFont="1" applyFill="1" applyAlignment="1">
      <alignment horizontal="left" vertical="top" wrapText="1"/>
    </xf>
    <xf numFmtId="0" fontId="0" fillId="3" borderId="4" xfId="0" applyFill="1" applyBorder="1"/>
    <xf numFmtId="0" fontId="0" fillId="4" borderId="4" xfId="0" applyFill="1" applyBorder="1" applyAlignment="1" applyProtection="1">
      <alignment horizontal="right" vertical="center"/>
      <protection locked="0"/>
    </xf>
    <xf numFmtId="0" fontId="0" fillId="4" borderId="4" xfId="0" applyFill="1" applyBorder="1" applyProtection="1">
      <protection locked="0"/>
    </xf>
    <xf numFmtId="0" fontId="1" fillId="3" borderId="7" xfId="0" applyFont="1" applyFill="1" applyBorder="1"/>
    <xf numFmtId="0" fontId="0" fillId="3" borderId="8" xfId="0" applyFill="1" applyBorder="1"/>
    <xf numFmtId="0" fontId="1" fillId="3" borderId="9" xfId="0" applyFont="1" applyFill="1" applyBorder="1"/>
    <xf numFmtId="0" fontId="0" fillId="4" borderId="10" xfId="0" applyFill="1" applyBorder="1" applyProtection="1">
      <protection locked="0"/>
    </xf>
    <xf numFmtId="0" fontId="7" fillId="4" borderId="0" xfId="0" applyFont="1" applyFill="1" applyAlignment="1">
      <alignment horizontal="left" vertical="center"/>
    </xf>
    <xf numFmtId="0" fontId="4" fillId="3" borderId="0" xfId="0" applyFont="1" applyFill="1" applyAlignment="1">
      <alignment horizontal="left"/>
    </xf>
    <xf numFmtId="0" fontId="0" fillId="3" borderId="0" xfId="0" applyFill="1" applyAlignment="1">
      <alignment horizontal="center" wrapText="1"/>
    </xf>
    <xf numFmtId="0" fontId="0" fillId="0" borderId="4" xfId="0" applyBorder="1" applyAlignment="1">
      <alignment horizontal="center"/>
    </xf>
    <xf numFmtId="0" fontId="1" fillId="0" borderId="2" xfId="0" applyFont="1" applyBorder="1"/>
    <xf numFmtId="0" fontId="1" fillId="0" borderId="4" xfId="0" applyFont="1" applyBorder="1"/>
    <xf numFmtId="0" fontId="8" fillId="0" borderId="0" xfId="0" applyFont="1"/>
    <xf numFmtId="0" fontId="10" fillId="0" borderId="0" xfId="0" applyFont="1"/>
    <xf numFmtId="0" fontId="11" fillId="0" borderId="0" xfId="0" applyFont="1"/>
    <xf numFmtId="0" fontId="12" fillId="0" borderId="0" xfId="0" applyFont="1" applyAlignment="1">
      <alignment horizontal="left" vertical="center" indent="5"/>
    </xf>
    <xf numFmtId="0" fontId="13" fillId="0" borderId="0" xfId="0" applyFont="1" applyAlignment="1">
      <alignment horizontal="left" vertical="center" indent="5"/>
    </xf>
    <xf numFmtId="0" fontId="8" fillId="0" borderId="0" xfId="0" applyFont="1" applyAlignment="1">
      <alignment horizontal="left" vertical="center"/>
    </xf>
    <xf numFmtId="0" fontId="0" fillId="4" borderId="3" xfId="0" applyFill="1" applyBorder="1" applyProtection="1">
      <protection locked="0"/>
    </xf>
    <xf numFmtId="164" fontId="0" fillId="0" borderId="0" xfId="0" applyNumberFormat="1"/>
    <xf numFmtId="0" fontId="0" fillId="0" borderId="6" xfId="0" applyBorder="1"/>
    <xf numFmtId="0" fontId="0" fillId="11" borderId="0" xfId="0" applyFill="1"/>
    <xf numFmtId="0" fontId="2" fillId="0" borderId="0" xfId="0" applyFont="1" applyAlignment="1">
      <alignment horizontal="center"/>
    </xf>
    <xf numFmtId="0" fontId="0" fillId="0" borderId="11" xfId="0" applyBorder="1"/>
    <xf numFmtId="0" fontId="0" fillId="0" borderId="7" xfId="0" applyBorder="1"/>
    <xf numFmtId="0" fontId="0" fillId="0" borderId="8" xfId="0" applyBorder="1"/>
    <xf numFmtId="0" fontId="0" fillId="0" borderId="12" xfId="0" applyBorder="1"/>
    <xf numFmtId="0" fontId="0" fillId="0" borderId="9" xfId="0" applyBorder="1"/>
    <xf numFmtId="0" fontId="0" fillId="0" borderId="2" xfId="0" applyBorder="1"/>
    <xf numFmtId="0" fontId="2" fillId="0" borderId="0" xfId="0" applyFont="1" applyAlignment="1">
      <alignment horizontal="left"/>
    </xf>
    <xf numFmtId="0" fontId="18" fillId="0" borderId="7" xfId="0" applyFont="1" applyBorder="1"/>
    <xf numFmtId="0" fontId="0" fillId="0" borderId="13" xfId="0" applyBorder="1"/>
    <xf numFmtId="0" fontId="0" fillId="0" borderId="14" xfId="0" applyBorder="1"/>
    <xf numFmtId="0" fontId="0" fillId="0" borderId="10" xfId="0" applyBorder="1"/>
    <xf numFmtId="0" fontId="18" fillId="0" borderId="15" xfId="0" applyFont="1" applyBorder="1"/>
    <xf numFmtId="0" fontId="18" fillId="0" borderId="8" xfId="0" applyFont="1" applyBorder="1"/>
    <xf numFmtId="0" fontId="21" fillId="0" borderId="0" xfId="0" applyFont="1"/>
    <xf numFmtId="0" fontId="22" fillId="0" borderId="0" xfId="0" applyFont="1"/>
    <xf numFmtId="0" fontId="25" fillId="11" borderId="0" xfId="0" applyFont="1" applyFill="1"/>
    <xf numFmtId="0" fontId="26" fillId="11" borderId="0" xfId="0" applyFont="1" applyFill="1"/>
    <xf numFmtId="0" fontId="3" fillId="11" borderId="0" xfId="0" applyFont="1" applyFill="1"/>
    <xf numFmtId="0" fontId="27" fillId="11" borderId="0" xfId="0" applyFont="1" applyFill="1"/>
    <xf numFmtId="0" fontId="28" fillId="11" borderId="0" xfId="0" applyFont="1" applyFill="1" applyAlignment="1">
      <alignment horizontal="left" vertical="center" indent="2"/>
    </xf>
    <xf numFmtId="0" fontId="3" fillId="11" borderId="0" xfId="0" applyFont="1" applyFill="1" applyAlignment="1">
      <alignment horizontal="left" vertical="center" indent="5"/>
    </xf>
    <xf numFmtId="0" fontId="28" fillId="11" borderId="0" xfId="0" applyFont="1" applyFill="1" applyAlignment="1">
      <alignment horizontal="left" vertical="center" indent="7"/>
    </xf>
    <xf numFmtId="0" fontId="27" fillId="11" borderId="0" xfId="0" applyFont="1" applyFill="1" applyAlignment="1">
      <alignment horizontal="left" vertical="center" indent="5"/>
    </xf>
    <xf numFmtId="0" fontId="30" fillId="11" borderId="0" xfId="0" applyFont="1" applyFill="1" applyAlignment="1">
      <alignment horizontal="left" vertical="center" indent="7"/>
    </xf>
    <xf numFmtId="0" fontId="30" fillId="11" borderId="0" xfId="0" applyFont="1" applyFill="1" applyAlignment="1">
      <alignment horizontal="left" vertical="center" indent="5"/>
    </xf>
    <xf numFmtId="0" fontId="28" fillId="11" borderId="0" xfId="0" applyFont="1" applyFill="1" applyAlignment="1">
      <alignment horizontal="left" vertical="center" indent="12"/>
    </xf>
    <xf numFmtId="0" fontId="12" fillId="11" borderId="3" xfId="0" applyFont="1" applyFill="1" applyBorder="1" applyAlignment="1">
      <alignment horizontal="center" vertical="center" wrapText="1"/>
    </xf>
    <xf numFmtId="0" fontId="12" fillId="11" borderId="2" xfId="0" applyFont="1" applyFill="1" applyBorder="1" applyAlignment="1">
      <alignment horizontal="center" vertical="center" wrapText="1"/>
    </xf>
    <xf numFmtId="0" fontId="1" fillId="11" borderId="10" xfId="0" applyFont="1" applyFill="1" applyBorder="1" applyAlignment="1">
      <alignment vertical="center" wrapText="1"/>
    </xf>
    <xf numFmtId="0" fontId="1" fillId="11" borderId="16" xfId="0" applyFont="1" applyFill="1" applyBorder="1" applyAlignment="1">
      <alignment vertical="center" wrapText="1"/>
    </xf>
    <xf numFmtId="0" fontId="0" fillId="11" borderId="10" xfId="0" applyFill="1" applyBorder="1" applyAlignment="1">
      <alignment vertical="center" wrapText="1"/>
    </xf>
    <xf numFmtId="0" fontId="0" fillId="11" borderId="16" xfId="0" applyFill="1" applyBorder="1" applyAlignment="1">
      <alignment vertical="center" wrapText="1"/>
    </xf>
    <xf numFmtId="0" fontId="2" fillId="0" borderId="0" xfId="0" applyFont="1" applyAlignment="1">
      <alignment horizontal="center" vertical="center"/>
    </xf>
    <xf numFmtId="0" fontId="0" fillId="3" borderId="16" xfId="0" applyFill="1" applyBorder="1"/>
    <xf numFmtId="0" fontId="5" fillId="4" borderId="4" xfId="0" applyFont="1" applyFill="1" applyBorder="1" applyAlignment="1">
      <alignment horizontal="left" vertical="top"/>
    </xf>
    <xf numFmtId="0" fontId="0" fillId="0" borderId="4" xfId="0" applyBorder="1" applyAlignment="1">
      <alignment horizontal="center" vertical="center"/>
    </xf>
    <xf numFmtId="0" fontId="1" fillId="0" borderId="3" xfId="0" applyFont="1" applyBorder="1"/>
    <xf numFmtId="0" fontId="1" fillId="4" borderId="0" xfId="0" applyFont="1" applyFill="1" applyAlignment="1">
      <alignment vertical="top"/>
    </xf>
    <xf numFmtId="0" fontId="2" fillId="0" borderId="0" xfId="0" applyFont="1"/>
    <xf numFmtId="0" fontId="0" fillId="0" borderId="16" xfId="0" applyBorder="1"/>
    <xf numFmtId="0" fontId="0" fillId="11" borderId="0" xfId="0" applyFill="1" applyAlignment="1">
      <alignment horizontal="left" vertical="center" indent="2"/>
    </xf>
    <xf numFmtId="0" fontId="0" fillId="11" borderId="0" xfId="0" applyFill="1" applyAlignment="1">
      <alignment horizontal="left" vertical="center" indent="7"/>
    </xf>
    <xf numFmtId="0" fontId="0" fillId="11" borderId="0" xfId="0" applyFill="1" applyAlignment="1">
      <alignment horizontal="left" vertical="top" indent="7"/>
    </xf>
    <xf numFmtId="0" fontId="2" fillId="0" borderId="0" xfId="0" applyFont="1" applyAlignment="1">
      <alignment horizontal="left" indent="6"/>
    </xf>
    <xf numFmtId="0" fontId="2" fillId="0" borderId="0" xfId="0" applyFont="1" applyAlignment="1">
      <alignment horizontal="left" indent="5"/>
    </xf>
    <xf numFmtId="0" fontId="0" fillId="11" borderId="0" xfId="0" applyFill="1" applyAlignment="1">
      <alignment horizontal="left" vertical="center" indent="12"/>
    </xf>
    <xf numFmtId="0" fontId="0" fillId="11" borderId="0" xfId="0" applyFill="1" applyAlignment="1">
      <alignment horizontal="center"/>
    </xf>
    <xf numFmtId="0" fontId="3" fillId="11" borderId="0" xfId="0" applyFont="1" applyFill="1" applyAlignment="1" applyProtection="1">
      <alignment horizontal="left" vertical="center" indent="5"/>
      <protection locked="0"/>
    </xf>
    <xf numFmtId="0" fontId="12" fillId="0" borderId="0" xfId="0" applyFont="1" applyAlignment="1">
      <alignment horizontal="left" indent="1"/>
    </xf>
    <xf numFmtId="0" fontId="32" fillId="3" borderId="0" xfId="1" applyFont="1" applyFill="1" applyBorder="1" applyAlignment="1">
      <alignment horizontal="center"/>
    </xf>
    <xf numFmtId="0" fontId="0" fillId="3" borderId="0" xfId="0" applyFill="1" applyProtection="1">
      <protection locked="0" hidden="1"/>
    </xf>
    <xf numFmtId="0" fontId="23" fillId="11" borderId="0" xfId="1" applyFill="1" applyProtection="1"/>
    <xf numFmtId="0" fontId="23" fillId="11" borderId="0" xfId="1" applyFill="1"/>
    <xf numFmtId="0" fontId="23" fillId="11" borderId="0" xfId="1" applyFill="1" applyAlignment="1" applyProtection="1">
      <protection locked="0"/>
    </xf>
    <xf numFmtId="0" fontId="23" fillId="0" borderId="0" xfId="1" applyProtection="1"/>
    <xf numFmtId="0" fontId="0" fillId="12" borderId="0" xfId="0" applyFill="1"/>
    <xf numFmtId="164" fontId="0" fillId="0" borderId="0" xfId="0" applyNumberFormat="1" applyProtection="1">
      <protection hidden="1"/>
    </xf>
    <xf numFmtId="0" fontId="0" fillId="0" borderId="4" xfId="0" applyBorder="1" applyAlignment="1">
      <alignment wrapText="1"/>
    </xf>
    <xf numFmtId="0" fontId="0" fillId="11" borderId="0" xfId="0" applyFill="1" applyAlignment="1">
      <alignment horizontal="left" vertical="center" indent="5"/>
    </xf>
    <xf numFmtId="0" fontId="0" fillId="11" borderId="0" xfId="0" applyFill="1" applyAlignment="1">
      <alignment vertical="center"/>
    </xf>
    <xf numFmtId="165" fontId="0" fillId="3" borderId="4" xfId="0" applyNumberFormat="1" applyFill="1" applyBorder="1" applyAlignment="1">
      <alignment horizontal="right"/>
    </xf>
    <xf numFmtId="165" fontId="0" fillId="3" borderId="4" xfId="0" applyNumberFormat="1" applyFill="1" applyBorder="1"/>
    <xf numFmtId="165" fontId="0" fillId="10" borderId="0" xfId="0" applyNumberFormat="1" applyFill="1"/>
    <xf numFmtId="0" fontId="0" fillId="0" borderId="16" xfId="0" applyBorder="1" applyAlignment="1">
      <alignment wrapText="1"/>
    </xf>
    <xf numFmtId="0" fontId="2" fillId="0" borderId="0" xfId="0" applyFont="1" applyAlignment="1">
      <alignment horizontal="left" vertical="center" indent="8"/>
    </xf>
    <xf numFmtId="0" fontId="0" fillId="0" borderId="7" xfId="0" applyBorder="1" applyAlignment="1">
      <alignment vertical="top" wrapText="1"/>
    </xf>
    <xf numFmtId="0" fontId="0" fillId="0" borderId="8" xfId="0" applyBorder="1" applyAlignment="1">
      <alignment vertical="top" wrapText="1"/>
    </xf>
    <xf numFmtId="0" fontId="0" fillId="0" borderId="6" xfId="0" applyBorder="1" applyAlignment="1">
      <alignment vertical="top" wrapText="1"/>
    </xf>
    <xf numFmtId="0" fontId="0" fillId="0" borderId="12" xfId="0" applyBorder="1" applyAlignment="1">
      <alignment vertical="top" wrapText="1"/>
    </xf>
    <xf numFmtId="0" fontId="0" fillId="0" borderId="9" xfId="0" applyBorder="1" applyAlignment="1">
      <alignment vertical="top" wrapText="1"/>
    </xf>
    <xf numFmtId="0" fontId="0" fillId="0" borderId="16" xfId="0" applyBorder="1" applyAlignment="1">
      <alignment vertical="top" wrapText="1"/>
    </xf>
    <xf numFmtId="0" fontId="0" fillId="0" borderId="0" xfId="0"/>
    <xf numFmtId="0" fontId="0" fillId="0" borderId="6" xfId="0" applyBorder="1"/>
    <xf numFmtId="0" fontId="0" fillId="0" borderId="12" xfId="0" applyBorder="1"/>
    <xf numFmtId="0" fontId="0" fillId="0" borderId="9" xfId="0" applyBorder="1"/>
    <xf numFmtId="0" fontId="0" fillId="0" borderId="16" xfId="0" applyBorder="1"/>
    <xf numFmtId="0" fontId="0" fillId="0" borderId="0" xfId="0" applyAlignment="1">
      <alignment horizontal="left"/>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6" xfId="0" applyBorder="1" applyAlignment="1">
      <alignment horizontal="left" vertical="top" wrapText="1"/>
    </xf>
    <xf numFmtId="0" fontId="0" fillId="0" borderId="12" xfId="0" applyBorder="1" applyAlignment="1">
      <alignment horizontal="left" vertical="top" wrapText="1"/>
    </xf>
    <xf numFmtId="0" fontId="0" fillId="0" borderId="9" xfId="0" applyBorder="1" applyAlignment="1">
      <alignment horizontal="left" vertical="top" wrapText="1"/>
    </xf>
    <xf numFmtId="0" fontId="0" fillId="0" borderId="16" xfId="0" applyBorder="1" applyAlignment="1">
      <alignment horizontal="left" vertical="top" wrapText="1"/>
    </xf>
    <xf numFmtId="0" fontId="0" fillId="0" borderId="7" xfId="0" applyBorder="1" applyAlignment="1">
      <alignment horizontal="left" vertical="top"/>
    </xf>
    <xf numFmtId="0" fontId="0" fillId="0" borderId="15" xfId="0" applyBorder="1" applyAlignment="1">
      <alignment horizontal="left" vertical="top"/>
    </xf>
    <xf numFmtId="0" fontId="0" fillId="0" borderId="8" xfId="0" applyBorder="1" applyAlignment="1">
      <alignment horizontal="left" vertical="top"/>
    </xf>
    <xf numFmtId="0" fontId="0" fillId="0" borderId="6" xfId="0" applyBorder="1" applyAlignment="1">
      <alignment horizontal="left" vertical="top"/>
    </xf>
    <xf numFmtId="0" fontId="0" fillId="0" borderId="0" xfId="0" applyAlignment="1">
      <alignment horizontal="left" vertical="top"/>
    </xf>
    <xf numFmtId="0" fontId="0" fillId="0" borderId="12" xfId="0" applyBorder="1" applyAlignment="1">
      <alignment horizontal="left" vertical="top"/>
    </xf>
    <xf numFmtId="0" fontId="9" fillId="0" borderId="7" xfId="0" applyFont="1" applyBorder="1" applyAlignment="1">
      <alignment horizontal="center" vertical="center" wrapText="1"/>
    </xf>
    <xf numFmtId="0" fontId="9" fillId="0" borderId="15" xfId="0" applyFont="1" applyBorder="1" applyAlignment="1">
      <alignment horizontal="center" vertical="center" wrapText="1"/>
    </xf>
    <xf numFmtId="0" fontId="9" fillId="0" borderId="8" xfId="0" applyFont="1" applyBorder="1" applyAlignment="1">
      <alignment horizontal="center" vertical="center" wrapText="1"/>
    </xf>
    <xf numFmtId="0" fontId="9" fillId="0" borderId="9" xfId="0" applyFont="1" applyBorder="1" applyAlignment="1">
      <alignment horizontal="center" vertical="center" wrapText="1"/>
    </xf>
    <xf numFmtId="0" fontId="9" fillId="0" borderId="11" xfId="0" applyFont="1" applyBorder="1" applyAlignment="1">
      <alignment horizontal="center" vertical="center" wrapText="1"/>
    </xf>
    <xf numFmtId="0" fontId="9" fillId="0" borderId="16" xfId="0" applyFont="1" applyBorder="1" applyAlignment="1">
      <alignment horizontal="center" vertical="center" wrapText="1"/>
    </xf>
    <xf numFmtId="0" fontId="1" fillId="0" borderId="3" xfId="0" applyFont="1" applyBorder="1" applyAlignment="1">
      <alignment horizontal="left" vertical="top"/>
    </xf>
    <xf numFmtId="0" fontId="1" fillId="0" borderId="2" xfId="0" applyFont="1" applyBorder="1" applyAlignment="1">
      <alignment horizontal="left" vertical="top"/>
    </xf>
    <xf numFmtId="0" fontId="1" fillId="0" borderId="3" xfId="0" applyFont="1" applyBorder="1"/>
    <xf numFmtId="0" fontId="1" fillId="0" borderId="17" xfId="0" applyFont="1" applyBorder="1"/>
    <xf numFmtId="0" fontId="1" fillId="0" borderId="2" xfId="0" applyFont="1" applyBorder="1"/>
    <xf numFmtId="0" fontId="21" fillId="0" borderId="0" xfId="0" applyFont="1"/>
    <xf numFmtId="0" fontId="0" fillId="0" borderId="13" xfId="0" applyBorder="1" applyAlignment="1">
      <alignment horizontal="center" vertical="center"/>
    </xf>
    <xf numFmtId="0" fontId="0" fillId="0" borderId="10" xfId="0" applyBorder="1" applyAlignment="1">
      <alignment horizontal="center" vertical="center"/>
    </xf>
    <xf numFmtId="0" fontId="2" fillId="0" borderId="0" xfId="0" applyFont="1" applyAlignment="1">
      <alignment horizontal="center" vertical="center"/>
    </xf>
    <xf numFmtId="0" fontId="0" fillId="0" borderId="13" xfId="0" applyBorder="1" applyAlignment="1">
      <alignment horizontal="center" vertical="center" wrapText="1"/>
    </xf>
    <xf numFmtId="0" fontId="0" fillId="0" borderId="10" xfId="0" applyBorder="1" applyAlignment="1">
      <alignment horizontal="center" vertical="center" wrapText="1"/>
    </xf>
    <xf numFmtId="0" fontId="0" fillId="0" borderId="13"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center" wrapText="1"/>
    </xf>
    <xf numFmtId="0" fontId="0" fillId="0" borderId="10" xfId="0" applyBorder="1" applyAlignment="1">
      <alignment horizontal="left" vertical="center" wrapText="1"/>
    </xf>
    <xf numFmtId="0" fontId="0" fillId="0" borderId="0" xfId="0" applyAlignment="1">
      <alignment vertical="top" wrapText="1"/>
    </xf>
    <xf numFmtId="0" fontId="0" fillId="0" borderId="0" xfId="0" applyAlignment="1">
      <alignment vertical="top"/>
    </xf>
    <xf numFmtId="0" fontId="0" fillId="0" borderId="0" xfId="0" applyAlignment="1">
      <alignment wrapText="1"/>
    </xf>
    <xf numFmtId="0" fontId="1" fillId="0" borderId="0" xfId="0" applyFont="1" applyAlignment="1">
      <alignment wrapText="1"/>
    </xf>
    <xf numFmtId="0" fontId="23" fillId="11" borderId="0" xfId="1" applyFill="1" applyProtection="1"/>
    <xf numFmtId="0" fontId="16" fillId="0" borderId="0" xfId="0" applyFont="1" applyAlignment="1">
      <alignment horizontal="center" vertical="center"/>
    </xf>
    <xf numFmtId="0" fontId="8" fillId="0" borderId="0" xfId="0" applyFont="1" applyAlignment="1">
      <alignment horizontal="center" vertical="center"/>
    </xf>
  </cellXfs>
  <cellStyles count="2">
    <cellStyle name="Hyperkobling" xfId="1" builtinId="8"/>
    <cellStyle name="Normal" xfId="0" builtinId="0"/>
  </cellStyles>
  <dxfs count="5">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b val="0"/>
        <i val="0"/>
        <strike val="0"/>
        <u/>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hyperlink" Target="#Prosedyre!A62"/><Relationship Id="rId1" Type="http://schemas.openxmlformats.org/officeDocument/2006/relationships/hyperlink" Target="#Prosedyre!A36"/></Relationships>
</file>

<file path=xl/drawings/_rels/drawing2.xml.rels><?xml version="1.0" encoding="UTF-8" standalone="yes"?>
<Relationships xmlns="http://schemas.openxmlformats.org/package/2006/relationships"><Relationship Id="rId1" Type="http://schemas.openxmlformats.org/officeDocument/2006/relationships/hyperlink" Target="#Gentacalc!A1"/></Relationships>
</file>

<file path=xl/drawings/_rels/drawing3.xml.rels><?xml version="1.0" encoding="UTF-8" standalone="yes"?>
<Relationships xmlns="http://schemas.openxmlformats.org/package/2006/relationships"><Relationship Id="rId3" Type="http://schemas.openxmlformats.org/officeDocument/2006/relationships/hyperlink" Target="#Gentacalc!A1"/><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hyperlink" Target="#Gentacalc!A1"/></Relationships>
</file>

<file path=xl/drawings/_rels/drawing5.xml.rels><?xml version="1.0" encoding="UTF-8" standalone="yes"?>
<Relationships xmlns="http://schemas.openxmlformats.org/package/2006/relationships"><Relationship Id="rId3" Type="http://schemas.openxmlformats.org/officeDocument/2006/relationships/hyperlink" Target="#Gentacalc!A1"/><Relationship Id="rId2" Type="http://schemas.openxmlformats.org/officeDocument/2006/relationships/image" Target="../media/image7.png"/><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4</xdr:col>
      <xdr:colOff>95249</xdr:colOff>
      <xdr:row>11</xdr:row>
      <xdr:rowOff>171450</xdr:rowOff>
    </xdr:from>
    <xdr:to>
      <xdr:col>5</xdr:col>
      <xdr:colOff>762000</xdr:colOff>
      <xdr:row>16</xdr:row>
      <xdr:rowOff>133350</xdr:rowOff>
    </xdr:to>
    <xdr:sp macro="" textlink="">
      <xdr:nvSpPr>
        <xdr:cNvPr id="2" name="erik" hidden="1">
          <a:extLst>
            <a:ext uri="{FF2B5EF4-FFF2-40B4-BE49-F238E27FC236}">
              <a16:creationId xmlns:a16="http://schemas.microsoft.com/office/drawing/2014/main" id="{00000000-0008-0000-0000-000002000000}"/>
            </a:ext>
          </a:extLst>
        </xdr:cNvPr>
        <xdr:cNvSpPr txBox="1"/>
      </xdr:nvSpPr>
      <xdr:spPr>
        <a:xfrm>
          <a:off x="2552700" y="2219325"/>
          <a:ext cx="2381250" cy="942975"/>
        </a:xfrm>
        <a:prstGeom prst="rect">
          <a:avLst/>
        </a:prstGeom>
        <a:solidFill>
          <a:schemeClr val="accent1">
            <a:lumMod val="40000"/>
            <a:lumOff val="60000"/>
          </a:schemeClr>
        </a:solidFill>
        <a:ln w="38100"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marL="0" indent="0" algn="l">
            <a:buFont typeface="Arial" panose="020B0604020202020204" pitchFamily="34" charset="0"/>
            <a:buNone/>
          </a:pPr>
          <a:r>
            <a:rPr lang="nb-NO" sz="1100" b="1" u="sng">
              <a:solidFill>
                <a:schemeClr val="tx1"/>
              </a:solidFill>
            </a:rPr>
            <a:t>Dosering</a:t>
          </a:r>
          <a:r>
            <a:rPr lang="nb-NO" sz="1100" b="1" u="sng" baseline="0">
              <a:solidFill>
                <a:schemeClr val="tx1"/>
              </a:solidFill>
            </a:rPr>
            <a:t> ved alder under 80 år</a:t>
          </a:r>
          <a:endParaRPr lang="nb-NO" sz="1100" b="1" u="sng" baseline="0">
            <a:solidFill>
              <a:schemeClr val="tx1"/>
            </a:solidFill>
            <a:effectLst/>
            <a:latin typeface="+mn-lt"/>
            <a:ea typeface="+mn-ea"/>
            <a:cs typeface="+mn-cs"/>
          </a:endParaRPr>
        </a:p>
        <a:p>
          <a:pPr marL="171450" indent="-171450" algn="l">
            <a:buFont typeface="Arial" panose="020B0604020202020204" pitchFamily="34" charset="0"/>
            <a:buChar char="•"/>
          </a:pPr>
          <a:r>
            <a:rPr lang="nb-NO" sz="1100">
              <a:solidFill>
                <a:schemeClr val="tx1"/>
              </a:solidFill>
              <a:effectLst/>
              <a:latin typeface="+mn-lt"/>
              <a:ea typeface="+mn-ea"/>
              <a:cs typeface="+mn-cs"/>
            </a:rPr>
            <a:t>Sepsis/ Nøytropen feber = 7 mg/kg</a:t>
          </a:r>
          <a:endParaRPr lang="nb-NO" sz="1100">
            <a:solidFill>
              <a:srgbClr val="000000"/>
            </a:solidFill>
            <a:effectLst/>
          </a:endParaRPr>
        </a:p>
        <a:p>
          <a:pPr marL="171450" indent="-171450" algn="l">
            <a:buFont typeface="Arial" panose="020B0604020202020204" pitchFamily="34" charset="0"/>
            <a:buChar char="•"/>
          </a:pPr>
          <a:r>
            <a:rPr lang="nb-NO" sz="1100" baseline="0">
              <a:solidFill>
                <a:schemeClr val="tx1"/>
              </a:solidFill>
              <a:effectLst/>
              <a:latin typeface="+mn-lt"/>
              <a:ea typeface="+mn-ea"/>
              <a:cs typeface="+mn-cs"/>
            </a:rPr>
            <a:t>Øvrige indikasjoner = 5-6 mg/kg</a:t>
          </a:r>
          <a:endParaRPr lang="nb-NO">
            <a:solidFill>
              <a:srgbClr val="000000"/>
            </a:solidFill>
            <a:effectLst/>
          </a:endParaRPr>
        </a:p>
        <a:p>
          <a:pPr marL="171450" indent="-171450" algn="l">
            <a:buFont typeface="Arial" panose="020B0604020202020204" pitchFamily="34" charset="0"/>
            <a:buChar char="•"/>
          </a:pPr>
          <a:r>
            <a:rPr lang="nb-NO" sz="1100" baseline="0">
              <a:solidFill>
                <a:schemeClr val="tx1"/>
              </a:solidFill>
              <a:effectLst/>
              <a:latin typeface="+mn-lt"/>
              <a:ea typeface="+mn-ea"/>
              <a:cs typeface="+mn-cs"/>
            </a:rPr>
            <a:t>Endokarditt (synergisme) 3 mg/kg</a:t>
          </a:r>
          <a:endParaRPr lang="nb-NO">
            <a:solidFill>
              <a:srgbClr val="000000"/>
            </a:solidFill>
            <a:effectLst/>
          </a:endParaRPr>
        </a:p>
        <a:p>
          <a:endParaRPr lang="nb-NO" sz="1100" b="1" u="sng" baseline="0"/>
        </a:p>
      </xdr:txBody>
    </xdr:sp>
    <xdr:clientData/>
  </xdr:twoCellAnchor>
  <xdr:twoCellAnchor editAs="oneCell">
    <xdr:from>
      <xdr:col>4</xdr:col>
      <xdr:colOff>114301</xdr:colOff>
      <xdr:row>11</xdr:row>
      <xdr:rowOff>171450</xdr:rowOff>
    </xdr:from>
    <xdr:to>
      <xdr:col>5</xdr:col>
      <xdr:colOff>762000</xdr:colOff>
      <xdr:row>16</xdr:row>
      <xdr:rowOff>123826</xdr:rowOff>
    </xdr:to>
    <xdr:sp macro="" textlink="">
      <xdr:nvSpPr>
        <xdr:cNvPr id="8" name="åtti" hidden="1">
          <a:extLst>
            <a:ext uri="{FF2B5EF4-FFF2-40B4-BE49-F238E27FC236}">
              <a16:creationId xmlns:a16="http://schemas.microsoft.com/office/drawing/2014/main" id="{00000000-0008-0000-0000-000008000000}"/>
            </a:ext>
          </a:extLst>
        </xdr:cNvPr>
        <xdr:cNvSpPr txBox="1"/>
      </xdr:nvSpPr>
      <xdr:spPr>
        <a:xfrm>
          <a:off x="2571750" y="2219325"/>
          <a:ext cx="2362200" cy="933450"/>
        </a:xfrm>
        <a:prstGeom prst="rect">
          <a:avLst/>
        </a:prstGeom>
        <a:solidFill>
          <a:schemeClr val="accent1">
            <a:lumMod val="40000"/>
            <a:lumOff val="60000"/>
          </a:schemeClr>
        </a:solidFill>
        <a:ln w="38100"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r>
            <a:rPr lang="nb-NO" sz="1100" b="1" u="sng">
              <a:solidFill>
                <a:schemeClr val="tx1"/>
              </a:solidFill>
            </a:rPr>
            <a:t>Dosering for pasienter over 80 år:</a:t>
          </a:r>
        </a:p>
        <a:p>
          <a:pPr marL="171450" lvl="0" indent="-171450" algn="l">
            <a:buFont typeface="Arial" panose="020B0604020202020204" pitchFamily="34" charset="0"/>
            <a:buChar char="•"/>
          </a:pPr>
          <a:r>
            <a:rPr lang="nb-NO" sz="1100">
              <a:solidFill>
                <a:schemeClr val="tx1"/>
              </a:solidFill>
            </a:rPr>
            <a:t>Sepsis/ Nøytropen feber = 5 mg/kg</a:t>
          </a:r>
        </a:p>
        <a:p>
          <a:pPr marL="171450" lvl="0" indent="-171450" algn="l">
            <a:buFont typeface="Arial" panose="020B0604020202020204" pitchFamily="34" charset="0"/>
            <a:buChar char="•"/>
          </a:pPr>
          <a:r>
            <a:rPr lang="nb-NO" sz="1100" baseline="0">
              <a:solidFill>
                <a:schemeClr val="tx1"/>
              </a:solidFill>
            </a:rPr>
            <a:t>Øvrige indikasjoner = 4-5 mg/kg</a:t>
          </a:r>
        </a:p>
        <a:p>
          <a:pPr marL="171450" lvl="0" indent="-171450" algn="l">
            <a:buFont typeface="Arial" panose="020B0604020202020204" pitchFamily="34" charset="0"/>
            <a:buChar char="•"/>
          </a:pPr>
          <a:r>
            <a:rPr lang="nb-NO" sz="1100" baseline="0">
              <a:solidFill>
                <a:schemeClr val="tx1"/>
              </a:solidFill>
            </a:rPr>
            <a:t>Endokarditt (synergisme) 3 mg /kg</a:t>
          </a:r>
          <a:endParaRPr lang="nb-NO"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57150</xdr:colOff>
          <xdr:row>13</xdr:row>
          <xdr:rowOff>57150</xdr:rowOff>
        </xdr:to>
        <xdr:sp macro="" textlink="">
          <xdr:nvSpPr>
            <xdr:cNvPr id="1056" name="TempCombo"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4</xdr:col>
      <xdr:colOff>66676</xdr:colOff>
      <xdr:row>20</xdr:row>
      <xdr:rowOff>76201</xdr:rowOff>
    </xdr:from>
    <xdr:to>
      <xdr:col>5</xdr:col>
      <xdr:colOff>800100</xdr:colOff>
      <xdr:row>24</xdr:row>
      <xdr:rowOff>152401</xdr:rowOff>
    </xdr:to>
    <xdr:sp macro="[0]!Clearcells" textlink="">
      <xdr:nvSpPr>
        <xdr:cNvPr id="6" name="nullstill">
          <a:extLst>
            <a:ext uri="{FF2B5EF4-FFF2-40B4-BE49-F238E27FC236}">
              <a16:creationId xmlns:a16="http://schemas.microsoft.com/office/drawing/2014/main" id="{00000000-0008-0000-0000-000006000000}"/>
            </a:ext>
          </a:extLst>
        </xdr:cNvPr>
        <xdr:cNvSpPr txBox="1"/>
      </xdr:nvSpPr>
      <xdr:spPr>
        <a:xfrm>
          <a:off x="2524125" y="3990975"/>
          <a:ext cx="2447925" cy="819150"/>
        </a:xfrm>
        <a:prstGeom prst="rect">
          <a:avLst/>
        </a:prstGeom>
        <a:solidFill>
          <a:schemeClr val="accent6">
            <a:lumMod val="75000"/>
          </a:schemeClr>
        </a:solidFill>
        <a:ln w="9525" cmpd="sng">
          <a:solidFill>
            <a:schemeClr val="bg1">
              <a:shade val="50000"/>
            </a:schemeClr>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nb-NO" sz="2400">
              <a:solidFill>
                <a:schemeClr val="tx1"/>
              </a:solidFill>
            </a:rPr>
            <a:t>Nullstill</a:t>
          </a:r>
          <a:r>
            <a:rPr lang="nb-NO" sz="2400" baseline="0">
              <a:solidFill>
                <a:schemeClr val="tx1"/>
              </a:solidFill>
            </a:rPr>
            <a:t> kalkulator</a:t>
          </a:r>
          <a:endParaRPr lang="nb-NO" sz="2400"/>
        </a:p>
      </xdr:txBody>
    </xdr:sp>
    <xdr:clientData/>
  </xdr:twoCellAnchor>
  <xdr:twoCellAnchor>
    <xdr:from>
      <xdr:col>1</xdr:col>
      <xdr:colOff>19051</xdr:colOff>
      <xdr:row>2</xdr:row>
      <xdr:rowOff>19051</xdr:rowOff>
    </xdr:from>
    <xdr:to>
      <xdr:col>4</xdr:col>
      <xdr:colOff>1333500</xdr:colOff>
      <xdr:row>9</xdr:row>
      <xdr:rowOff>114301</xdr:rowOff>
    </xdr:to>
    <xdr:sp macro="" textlink="">
      <xdr:nvSpPr>
        <xdr:cNvPr id="5" name="TekstSylinder 4">
          <a:extLst>
            <a:ext uri="{FF2B5EF4-FFF2-40B4-BE49-F238E27FC236}">
              <a16:creationId xmlns:a16="http://schemas.microsoft.com/office/drawing/2014/main" id="{C81F6569-741B-4742-9A79-6B035B440368}"/>
            </a:ext>
          </a:extLst>
        </xdr:cNvPr>
        <xdr:cNvSpPr txBox="1"/>
      </xdr:nvSpPr>
      <xdr:spPr>
        <a:xfrm>
          <a:off x="19050" y="400050"/>
          <a:ext cx="3771900" cy="1371600"/>
        </a:xfrm>
        <a:prstGeom prst="rect">
          <a:avLst/>
        </a:prstGeom>
        <a:solidFill>
          <a:schemeClr val="accent4">
            <a:lumMod val="60000"/>
            <a:lumOff val="40000"/>
          </a:schemeClr>
        </a:solidFill>
        <a:ln w="38100"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r>
            <a:rPr lang="nb-NO" sz="1100" b="1" u="sng">
              <a:solidFill>
                <a:schemeClr val="tx1"/>
              </a:solidFill>
            </a:rPr>
            <a:t>Kontraindikasjoner for bruk av gentamicin: </a:t>
          </a:r>
        </a:p>
        <a:p>
          <a:pPr marL="171450" indent="-171450">
            <a:buFont typeface="Arial" panose="020B0604020202020204" pitchFamily="34" charset="0"/>
            <a:buChar char="•"/>
          </a:pPr>
          <a:r>
            <a:rPr lang="nb-NO" sz="1100" b="1" u="none">
              <a:solidFill>
                <a:schemeClr val="tx1"/>
              </a:solidFill>
            </a:rPr>
            <a:t>Kronisk nyresvikt, GFR &lt; 40 ml/min</a:t>
          </a:r>
        </a:p>
        <a:p>
          <a:pPr marL="171450" indent="-171450">
            <a:buFont typeface="Arial" panose="020B0604020202020204" pitchFamily="34" charset="0"/>
            <a:buChar char="•"/>
          </a:pPr>
          <a:r>
            <a:rPr lang="nb-NO" sz="1100" b="1" u="none">
              <a:solidFill>
                <a:schemeClr val="tx1"/>
              </a:solidFill>
            </a:rPr>
            <a:t>Fulminant flerorgansvikt </a:t>
          </a:r>
        </a:p>
        <a:p>
          <a:pPr marL="171450" indent="-171450">
            <a:buFont typeface="Arial" panose="020B0604020202020204" pitchFamily="34" charset="0"/>
            <a:buChar char="•"/>
          </a:pPr>
          <a:r>
            <a:rPr lang="nb-NO" sz="1100" b="1" u="none">
              <a:solidFill>
                <a:schemeClr val="tx1"/>
              </a:solidFill>
            </a:rPr>
            <a:t>Myastenia gravis</a:t>
          </a:r>
        </a:p>
        <a:p>
          <a:pPr marL="171450" indent="-171450">
            <a:buFont typeface="Arial" panose="020B0604020202020204" pitchFamily="34" charset="0"/>
            <a:buChar char="•"/>
          </a:pPr>
          <a:r>
            <a:rPr lang="nb-NO" sz="1100" b="1" u="none">
              <a:solidFill>
                <a:schemeClr val="tx1"/>
              </a:solidFill>
            </a:rPr>
            <a:t>Pasient eller</a:t>
          </a:r>
          <a:r>
            <a:rPr lang="nb-NO" sz="1100" b="1" u="none" baseline="0">
              <a:solidFill>
                <a:schemeClr val="tx1"/>
              </a:solidFill>
            </a:rPr>
            <a:t> førstegradsslektning ned n</a:t>
          </a:r>
          <a:r>
            <a:rPr lang="nb-NO" sz="1100" b="1" u="none">
              <a:solidFill>
                <a:schemeClr val="tx1"/>
              </a:solidFill>
            </a:rPr>
            <a:t>edsatt</a:t>
          </a:r>
          <a:r>
            <a:rPr lang="nb-NO" sz="1100" b="1" u="none" baseline="0">
              <a:solidFill>
                <a:schemeClr val="tx1"/>
              </a:solidFill>
            </a:rPr>
            <a:t> hørsel </a:t>
          </a:r>
          <a:r>
            <a:rPr lang="nb-NO" sz="1100" b="1" i="1" u="none" baseline="0">
              <a:solidFill>
                <a:schemeClr val="tx1"/>
              </a:solidFill>
            </a:rPr>
            <a:t>forårsaket</a:t>
          </a:r>
          <a:r>
            <a:rPr lang="nb-NO" sz="1100" b="1" u="none" baseline="0">
              <a:solidFill>
                <a:schemeClr val="tx1"/>
              </a:solidFill>
            </a:rPr>
            <a:t> av gentamicin (sjeldent)</a:t>
          </a:r>
          <a:endParaRPr lang="nb-NO" sz="1100" b="1" u="none"/>
        </a:p>
      </xdr:txBody>
    </xdr:sp>
    <xdr:clientData/>
  </xdr:twoCellAnchor>
  <xdr:twoCellAnchor>
    <xdr:from>
      <xdr:col>5</xdr:col>
      <xdr:colOff>904875</xdr:colOff>
      <xdr:row>1</xdr:row>
      <xdr:rowOff>167641</xdr:rowOff>
    </xdr:from>
    <xdr:to>
      <xdr:col>13</xdr:col>
      <xdr:colOff>1600200</xdr:colOff>
      <xdr:row>9</xdr:row>
      <xdr:rowOff>152401</xdr:rowOff>
    </xdr:to>
    <xdr:sp macro="" textlink="">
      <xdr:nvSpPr>
        <xdr:cNvPr id="9" name="TekstSylinder 8">
          <a:hlinkClick xmlns:r="http://schemas.openxmlformats.org/officeDocument/2006/relationships" r:id="rId1" tooltip="Klikk for å åpne prosedyre"/>
          <a:extLst>
            <a:ext uri="{FF2B5EF4-FFF2-40B4-BE49-F238E27FC236}">
              <a16:creationId xmlns:a16="http://schemas.microsoft.com/office/drawing/2014/main" id="{6B815001-14D8-4A5B-AB3E-D7F58E12D99B}"/>
            </a:ext>
          </a:extLst>
        </xdr:cNvPr>
        <xdr:cNvSpPr txBox="1"/>
      </xdr:nvSpPr>
      <xdr:spPr>
        <a:xfrm>
          <a:off x="5076825" y="361950"/>
          <a:ext cx="5010150" cy="1447800"/>
        </a:xfrm>
        <a:prstGeom prst="rect">
          <a:avLst/>
        </a:prstGeom>
        <a:solidFill>
          <a:schemeClr val="accent2">
            <a:lumMod val="20000"/>
            <a:lumOff val="80000"/>
          </a:schemeClr>
        </a:solidFill>
        <a:ln w="38100"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r>
            <a:rPr lang="nb-NO" sz="1100" b="1" u="sng">
              <a:solidFill>
                <a:schemeClr val="tx1"/>
              </a:solidFill>
              <a:effectLst/>
              <a:latin typeface="+mn-lt"/>
              <a:ea typeface="+mn-ea"/>
              <a:cs typeface="+mn-cs"/>
            </a:rPr>
            <a:t>Relative kontraindikasjoner for</a:t>
          </a:r>
          <a:r>
            <a:rPr lang="nb-NO" sz="1100" b="1" u="sng" baseline="0">
              <a:solidFill>
                <a:schemeClr val="tx1"/>
              </a:solidFill>
              <a:effectLst/>
              <a:latin typeface="+mn-lt"/>
              <a:ea typeface="+mn-ea"/>
              <a:cs typeface="+mn-cs"/>
            </a:rPr>
            <a:t> gentamicin</a:t>
          </a:r>
          <a:r>
            <a:rPr lang="nb-NO" sz="1100" b="1" u="sng">
              <a:solidFill>
                <a:schemeClr val="tx1"/>
              </a:solidFill>
              <a:effectLst/>
              <a:latin typeface="+mn-lt"/>
              <a:ea typeface="+mn-ea"/>
              <a:cs typeface="+mn-cs"/>
            </a:rPr>
            <a:t>:</a:t>
          </a:r>
          <a:endParaRPr lang="nb-NO">
            <a:solidFill>
              <a:srgbClr val="000000"/>
            </a:solidFill>
            <a:effectLst/>
          </a:endParaRPr>
        </a:p>
        <a:p>
          <a:pPr eaLnBrk="1" fontAlgn="auto" latinLnBrk="0" hangingPunct="1"/>
          <a:r>
            <a:rPr lang="nb-NO" sz="1100" b="1">
              <a:solidFill>
                <a:schemeClr val="tx1"/>
              </a:solidFill>
              <a:effectLst/>
              <a:latin typeface="+mn-lt"/>
              <a:ea typeface="+mn-ea"/>
              <a:cs typeface="+mn-cs"/>
            </a:rPr>
            <a:t>Gentamicin bør som hovedregel ikke gis ved relative</a:t>
          </a:r>
          <a:r>
            <a:rPr lang="nb-NO" sz="1100" b="1" baseline="0">
              <a:solidFill>
                <a:schemeClr val="tx1"/>
              </a:solidFill>
              <a:effectLst/>
              <a:latin typeface="+mn-lt"/>
              <a:ea typeface="+mn-ea"/>
              <a:cs typeface="+mn-cs"/>
            </a:rPr>
            <a:t> kontraindikasjoner,</a:t>
          </a:r>
          <a:endParaRPr lang="nb-NO">
            <a:solidFill>
              <a:srgbClr val="000000"/>
            </a:solidFill>
            <a:effectLst/>
          </a:endParaRPr>
        </a:p>
        <a:p>
          <a:pPr eaLnBrk="1" fontAlgn="auto" latinLnBrk="0" hangingPunct="1"/>
          <a:r>
            <a:rPr lang="nb-NO" sz="1100" b="1" i="0">
              <a:solidFill>
                <a:schemeClr val="tx1"/>
              </a:solidFill>
              <a:effectLst/>
              <a:latin typeface="+mn-lt"/>
              <a:ea typeface="+mn-ea"/>
              <a:cs typeface="+mn-cs"/>
            </a:rPr>
            <a:t>én</a:t>
          </a:r>
          <a:r>
            <a:rPr lang="nb-NO" sz="1100" b="1" baseline="0">
              <a:solidFill>
                <a:schemeClr val="tx1"/>
              </a:solidFill>
              <a:effectLst/>
              <a:latin typeface="+mn-lt"/>
              <a:ea typeface="+mn-ea"/>
              <a:cs typeface="+mn-cs"/>
            </a:rPr>
            <a:t> dose kan likevel gis. Trykk her for å se prosedyre.</a:t>
          </a:r>
          <a:endParaRPr lang="nb-NO">
            <a:solidFill>
              <a:srgbClr val="000000"/>
            </a:solidFill>
            <a:effectLst/>
          </a:endParaRPr>
        </a:p>
        <a:p>
          <a:pPr eaLnBrk="1" fontAlgn="auto" latinLnBrk="0" hangingPunct="1"/>
          <a:endParaRPr lang="nb-NO" sz="1100">
            <a:solidFill>
              <a:schemeClr val="tx1"/>
            </a:solidFill>
            <a:effectLst/>
            <a:latin typeface="+mn-lt"/>
            <a:ea typeface="+mn-ea"/>
            <a:cs typeface="+mn-cs"/>
          </a:endParaRPr>
        </a:p>
        <a:p>
          <a:pPr marL="171450" indent="-171450" eaLnBrk="1" fontAlgn="auto" latinLnBrk="0" hangingPunct="1">
            <a:buFont typeface="Arial" panose="020B0604020202020204" pitchFamily="34" charset="0"/>
            <a:buChar char="•"/>
          </a:pPr>
          <a:r>
            <a:rPr lang="nb-NO" sz="1100">
              <a:solidFill>
                <a:schemeClr val="tx1"/>
              </a:solidFill>
              <a:effectLst/>
              <a:latin typeface="+mn-lt"/>
              <a:ea typeface="+mn-ea"/>
              <a:cs typeface="+mn-cs"/>
            </a:rPr>
            <a:t>Cisplatin eller</a:t>
          </a:r>
          <a:r>
            <a:rPr lang="nb-NO" sz="1100" baseline="0">
              <a:solidFill>
                <a:schemeClr val="tx1"/>
              </a:solidFill>
              <a:effectLst/>
              <a:latin typeface="+mn-lt"/>
              <a:ea typeface="+mn-ea"/>
              <a:cs typeface="+mn-cs"/>
            </a:rPr>
            <a:t> karboplatin </a:t>
          </a:r>
          <a:r>
            <a:rPr lang="nb-NO" sz="1100">
              <a:solidFill>
                <a:schemeClr val="tx1"/>
              </a:solidFill>
              <a:effectLst/>
              <a:latin typeface="+mn-lt"/>
              <a:ea typeface="+mn-ea"/>
              <a:cs typeface="+mn-cs"/>
            </a:rPr>
            <a:t>siste 2 måneder      </a:t>
          </a:r>
          <a:r>
            <a:rPr lang="nb-NO" sz="1100" b="0" i="0">
              <a:solidFill>
                <a:schemeClr val="tx1"/>
              </a:solidFill>
              <a:effectLst/>
              <a:latin typeface="+mn-lt"/>
              <a:ea typeface="+mn-ea"/>
              <a:cs typeface="+mn-cs"/>
            </a:rPr>
            <a:t>•</a:t>
          </a:r>
          <a:r>
            <a:rPr lang="nb-NO" sz="1100">
              <a:solidFill>
                <a:schemeClr val="tx1"/>
              </a:solidFill>
              <a:effectLst/>
              <a:latin typeface="+mn-lt"/>
              <a:ea typeface="+mn-ea"/>
              <a:cs typeface="+mn-cs"/>
            </a:rPr>
            <a:t> Myelomatose</a:t>
          </a:r>
        </a:p>
        <a:p>
          <a:pPr marL="171450" indent="-171450" eaLnBrk="1" fontAlgn="auto" latinLnBrk="0" hangingPunct="1">
            <a:buFont typeface="Arial" panose="020B0604020202020204" pitchFamily="34" charset="0"/>
            <a:buChar char="•"/>
          </a:pPr>
          <a:r>
            <a:rPr lang="nb-NO" sz="1100">
              <a:solidFill>
                <a:schemeClr val="tx1"/>
              </a:solidFill>
              <a:effectLst/>
              <a:latin typeface="+mn-lt"/>
              <a:ea typeface="+mn-ea"/>
              <a:cs typeface="+mn-cs"/>
            </a:rPr>
            <a:t>Brukt gentamicin siste måned</a:t>
          </a:r>
          <a:r>
            <a:rPr lang="nb-NO" sz="1100" baseline="0">
              <a:solidFill>
                <a:schemeClr val="tx1"/>
              </a:solidFill>
              <a:effectLst/>
              <a:latin typeface="+mn-lt"/>
              <a:ea typeface="+mn-ea"/>
              <a:cs typeface="+mn-cs"/>
            </a:rPr>
            <a:t>                       </a:t>
          </a:r>
          <a:r>
            <a:rPr lang="nb-NO" sz="1100">
              <a:solidFill>
                <a:schemeClr val="tx1"/>
              </a:solidFill>
              <a:effectLst/>
              <a:latin typeface="+mn-lt"/>
              <a:ea typeface="+mn-ea"/>
              <a:cs typeface="+mn-cs"/>
            </a:rPr>
            <a:t>     </a:t>
          </a:r>
          <a:r>
            <a:rPr lang="nb-NO" sz="1100" b="0" i="0">
              <a:solidFill>
                <a:schemeClr val="tx1"/>
              </a:solidFill>
              <a:effectLst/>
              <a:latin typeface="+mn-lt"/>
              <a:ea typeface="+mn-ea"/>
              <a:cs typeface="+mn-cs"/>
            </a:rPr>
            <a:t>•</a:t>
          </a:r>
          <a:r>
            <a:rPr lang="nb-NO" sz="1100" b="0" i="0" baseline="0">
              <a:solidFill>
                <a:schemeClr val="tx1"/>
              </a:solidFill>
              <a:effectLst/>
              <a:latin typeface="+mn-lt"/>
              <a:ea typeface="+mn-ea"/>
              <a:cs typeface="+mn-cs"/>
            </a:rPr>
            <a:t> </a:t>
          </a:r>
          <a:r>
            <a:rPr lang="nb-NO" sz="1100">
              <a:solidFill>
                <a:schemeClr val="tx1"/>
              </a:solidFill>
              <a:effectLst/>
              <a:latin typeface="+mn-lt"/>
              <a:ea typeface="+mn-ea"/>
              <a:cs typeface="+mn-cs"/>
            </a:rPr>
            <a:t>Nyretransplantasjon </a:t>
          </a:r>
          <a:endParaRPr lang="nb-NO">
            <a:solidFill>
              <a:srgbClr val="000000"/>
            </a:solidFill>
            <a:effectLst/>
          </a:endParaRPr>
        </a:p>
        <a:p>
          <a:pPr marL="171450" indent="-171450" eaLnBrk="1" fontAlgn="auto" latinLnBrk="0" hangingPunct="1">
            <a:buFont typeface="Arial" panose="020B0604020202020204" pitchFamily="34" charset="0"/>
            <a:buChar char="•"/>
          </a:pPr>
          <a:r>
            <a:rPr lang="nb-NO" sz="1100">
              <a:solidFill>
                <a:schemeClr val="tx1"/>
              </a:solidFill>
              <a:effectLst/>
              <a:latin typeface="+mn-lt"/>
              <a:ea typeface="+mn-ea"/>
              <a:cs typeface="+mn-cs"/>
            </a:rPr>
            <a:t>Høydose ifosfamid i sarkombehandling            </a:t>
          </a:r>
          <a:r>
            <a:rPr lang="nb-NO" sz="1100" b="0" i="0">
              <a:solidFill>
                <a:schemeClr val="tx1"/>
              </a:solidFill>
              <a:effectLst/>
              <a:latin typeface="+mn-lt"/>
              <a:ea typeface="+mn-ea"/>
              <a:cs typeface="+mn-cs"/>
            </a:rPr>
            <a:t>•</a:t>
          </a:r>
          <a:r>
            <a:rPr lang="nb-NO" sz="1100" baseline="0">
              <a:solidFill>
                <a:schemeClr val="tx1"/>
              </a:solidFill>
              <a:effectLst/>
              <a:latin typeface="+mn-lt"/>
              <a:ea typeface="+mn-ea"/>
              <a:cs typeface="+mn-cs"/>
            </a:rPr>
            <a:t> Massiv ascites</a:t>
          </a:r>
          <a:endParaRPr lang="nb-NO">
            <a:solidFill>
              <a:srgbClr val="000000"/>
            </a:solidFill>
            <a:effectLst/>
          </a:endParaRPr>
        </a:p>
        <a:p>
          <a:pPr marL="171450" indent="-171450" eaLnBrk="1" fontAlgn="auto" latinLnBrk="0" hangingPunct="1">
            <a:buFont typeface="Arial" panose="020B0604020202020204" pitchFamily="34" charset="0"/>
            <a:buChar char="•"/>
          </a:pPr>
          <a:r>
            <a:rPr lang="nb-NO" sz="1100">
              <a:solidFill>
                <a:schemeClr val="tx1"/>
              </a:solidFill>
              <a:effectLst/>
              <a:latin typeface="+mn-lt"/>
              <a:ea typeface="+mn-ea"/>
              <a:cs typeface="+mn-cs"/>
            </a:rPr>
            <a:t>Høydose metotreksat i sarkombehandling </a:t>
          </a:r>
          <a:r>
            <a:rPr lang="nb-NO" sz="1100" baseline="0">
              <a:solidFill>
                <a:schemeClr val="tx1"/>
              </a:solidFill>
              <a:effectLst/>
              <a:latin typeface="+mn-lt"/>
              <a:ea typeface="+mn-ea"/>
              <a:cs typeface="+mn-cs"/>
            </a:rPr>
            <a:t>      </a:t>
          </a:r>
          <a:r>
            <a:rPr lang="nb-NO" sz="1100" b="0" i="0">
              <a:solidFill>
                <a:schemeClr val="tx1"/>
              </a:solidFill>
              <a:effectLst/>
              <a:latin typeface="+mn-lt"/>
              <a:ea typeface="+mn-ea"/>
              <a:cs typeface="+mn-cs"/>
            </a:rPr>
            <a:t>•</a:t>
          </a:r>
          <a:r>
            <a:rPr lang="nb-NO" sz="1100" baseline="0">
              <a:solidFill>
                <a:schemeClr val="tx1"/>
              </a:solidFill>
              <a:effectLst/>
              <a:latin typeface="+mn-lt"/>
              <a:ea typeface="+mn-ea"/>
              <a:cs typeface="+mn-cs"/>
            </a:rPr>
            <a:t> </a:t>
          </a:r>
          <a:r>
            <a:rPr lang="nb-NO" sz="1100" b="0" i="0">
              <a:solidFill>
                <a:schemeClr val="tx1"/>
              </a:solidFill>
              <a:effectLst/>
              <a:latin typeface="+mn-lt"/>
              <a:ea typeface="+mn-ea"/>
              <a:cs typeface="+mn-cs"/>
            </a:rPr>
            <a:t>Gravid</a:t>
          </a:r>
          <a:r>
            <a:rPr lang="nb-NO" sz="1100" b="0" i="0" baseline="0">
              <a:solidFill>
                <a:schemeClr val="tx1"/>
              </a:solidFill>
              <a:effectLst/>
              <a:latin typeface="+mn-lt"/>
              <a:ea typeface="+mn-ea"/>
              <a:cs typeface="+mn-cs"/>
            </a:rPr>
            <a:t> i 2. eller 3. trimester</a:t>
          </a:r>
          <a:endParaRPr lang="nb-NO">
            <a:solidFill>
              <a:srgbClr val="000000"/>
            </a:solidFill>
            <a:effectLst/>
          </a:endParaRPr>
        </a:p>
        <a:p>
          <a:endParaRPr lang="nb-NO" sz="1100" b="1" u="sng"/>
        </a:p>
      </xdr:txBody>
    </xdr:sp>
    <xdr:clientData/>
  </xdr:twoCellAnchor>
  <xdr:twoCellAnchor editAs="oneCell">
    <xdr:from>
      <xdr:col>13</xdr:col>
      <xdr:colOff>9525</xdr:colOff>
      <xdr:row>17</xdr:row>
      <xdr:rowOff>66674</xdr:rowOff>
    </xdr:from>
    <xdr:to>
      <xdr:col>13</xdr:col>
      <xdr:colOff>2556509</xdr:colOff>
      <xdr:row>20</xdr:row>
      <xdr:rowOff>66674</xdr:rowOff>
    </xdr:to>
    <xdr:sp macro="" textlink="">
      <xdr:nvSpPr>
        <xdr:cNvPr id="12" name="BMI" hidden="1">
          <a:extLst>
            <a:ext uri="{FF2B5EF4-FFF2-40B4-BE49-F238E27FC236}">
              <a16:creationId xmlns:a16="http://schemas.microsoft.com/office/drawing/2014/main" id="{212E6D5A-C3C6-4469-ADA0-389DC5362007}"/>
            </a:ext>
          </a:extLst>
        </xdr:cNvPr>
        <xdr:cNvSpPr txBox="1"/>
      </xdr:nvSpPr>
      <xdr:spPr>
        <a:xfrm>
          <a:off x="8496300" y="3295650"/>
          <a:ext cx="2543175" cy="685800"/>
        </a:xfrm>
        <a:prstGeom prst="rect">
          <a:avLst/>
        </a:prstGeom>
        <a:solidFill>
          <a:schemeClr val="accent4">
            <a:lumMod val="20000"/>
            <a:lumOff val="80000"/>
          </a:schemeClr>
        </a:solidFill>
        <a:ln w="38100"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r>
            <a:rPr lang="nb-NO" sz="1100" b="1" u="sng" baseline="0">
              <a:solidFill>
                <a:schemeClr val="tx1"/>
              </a:solidFill>
            </a:rPr>
            <a:t>BMI er over 35:</a:t>
          </a:r>
        </a:p>
        <a:p>
          <a:r>
            <a:rPr lang="nb-NO" sz="1100" b="1" u="none" baseline="0">
              <a:solidFill>
                <a:schemeClr val="tx1"/>
              </a:solidFill>
            </a:rPr>
            <a:t>Bestill i tillegg s-gentamicin 8 timer etter første dose er gitt.</a:t>
          </a:r>
        </a:p>
      </xdr:txBody>
    </xdr:sp>
    <xdr:clientData/>
  </xdr:twoCellAnchor>
  <xdr:twoCellAnchor editAs="oneCell">
    <xdr:from>
      <xdr:col>6</xdr:col>
      <xdr:colOff>85725</xdr:colOff>
      <xdr:row>17</xdr:row>
      <xdr:rowOff>76201</xdr:rowOff>
    </xdr:from>
    <xdr:to>
      <xdr:col>11</xdr:col>
      <xdr:colOff>260984</xdr:colOff>
      <xdr:row>20</xdr:row>
      <xdr:rowOff>28575</xdr:rowOff>
    </xdr:to>
    <xdr:sp macro="" textlink="">
      <xdr:nvSpPr>
        <xdr:cNvPr id="7" name="Dose" hidden="1">
          <a:extLst>
            <a:ext uri="{FF2B5EF4-FFF2-40B4-BE49-F238E27FC236}">
              <a16:creationId xmlns:a16="http://schemas.microsoft.com/office/drawing/2014/main" id="{C659FE2B-ABB2-4685-8E07-701B11300BCA}"/>
            </a:ext>
          </a:extLst>
        </xdr:cNvPr>
        <xdr:cNvSpPr txBox="1"/>
      </xdr:nvSpPr>
      <xdr:spPr>
        <a:xfrm>
          <a:off x="5172075" y="3305175"/>
          <a:ext cx="2981325" cy="638175"/>
        </a:xfrm>
        <a:prstGeom prst="rect">
          <a:avLst/>
        </a:prstGeom>
        <a:solidFill>
          <a:schemeClr val="accent6">
            <a:lumMod val="60000"/>
            <a:lumOff val="40000"/>
          </a:schemeClr>
        </a:solidFill>
        <a:ln w="9525"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r>
            <a:rPr lang="nb-NO" sz="1100" b="1" u="sng">
              <a:solidFill>
                <a:schemeClr val="tx1"/>
              </a:solidFill>
            </a:rPr>
            <a:t>Dose</a:t>
          </a:r>
          <a:r>
            <a:rPr lang="nb-NO" sz="1100" b="1" u="sng" baseline="0">
              <a:solidFill>
                <a:schemeClr val="tx1"/>
              </a:solidFill>
            </a:rPr>
            <a:t>n er rundet ned til 600 mg.</a:t>
          </a:r>
        </a:p>
        <a:p>
          <a:r>
            <a:rPr lang="nb-NO" sz="1100" b="1" u="none" baseline="0">
              <a:solidFill>
                <a:schemeClr val="tx1"/>
              </a:solidFill>
            </a:rPr>
            <a:t>Det er sjeldent indisert med doser over 600 mg</a:t>
          </a:r>
          <a:endParaRPr lang="nb-NO" sz="1100" b="1" u="none"/>
        </a:p>
      </xdr:txBody>
    </xdr:sp>
    <xdr:clientData/>
  </xdr:twoCellAnchor>
  <xdr:twoCellAnchor>
    <xdr:from>
      <xdr:col>4</xdr:col>
      <xdr:colOff>38101</xdr:colOff>
      <xdr:row>18</xdr:row>
      <xdr:rowOff>47625</xdr:rowOff>
    </xdr:from>
    <xdr:to>
      <xdr:col>4</xdr:col>
      <xdr:colOff>1619250</xdr:colOff>
      <xdr:row>20</xdr:row>
      <xdr:rowOff>9525</xdr:rowOff>
    </xdr:to>
    <xdr:sp macro="" textlink="">
      <xdr:nvSpPr>
        <xdr:cNvPr id="3" name="Kreatinin" hidden="1">
          <a:extLst>
            <a:ext uri="{FF2B5EF4-FFF2-40B4-BE49-F238E27FC236}">
              <a16:creationId xmlns:a16="http://schemas.microsoft.com/office/drawing/2014/main" id="{DA21DA91-E793-4390-B802-11FD7D26B295}"/>
            </a:ext>
          </a:extLst>
        </xdr:cNvPr>
        <xdr:cNvSpPr txBox="1"/>
      </xdr:nvSpPr>
      <xdr:spPr>
        <a:xfrm>
          <a:off x="2495550" y="3476625"/>
          <a:ext cx="1581150" cy="447675"/>
        </a:xfrm>
        <a:prstGeom prst="rect">
          <a:avLst/>
        </a:prstGeom>
        <a:solidFill>
          <a:schemeClr val="accent1">
            <a:lumMod val="60000"/>
            <a:lumOff val="40000"/>
          </a:schemeClr>
        </a:solidFill>
        <a:ln w="3175"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r>
            <a:rPr lang="nb-NO" sz="1100" b="1" u="none">
              <a:solidFill>
                <a:schemeClr val="tx1"/>
              </a:solidFill>
            </a:rPr>
            <a:t>Kreatinin</a:t>
          </a:r>
          <a:r>
            <a:rPr lang="nb-NO" sz="1100" b="1" u="none" baseline="0">
              <a:solidFill>
                <a:schemeClr val="tx1"/>
              </a:solidFill>
            </a:rPr>
            <a:t> er automatisk rundet opp til 60 </a:t>
          </a:r>
          <a:endParaRPr lang="nb-NO" sz="1100" b="1" u="none"/>
        </a:p>
      </xdr:txBody>
    </xdr:sp>
    <xdr:clientData/>
  </xdr:twoCellAnchor>
  <xdr:twoCellAnchor>
    <xdr:from>
      <xdr:col>6</xdr:col>
      <xdr:colOff>104775</xdr:colOff>
      <xdr:row>20</xdr:row>
      <xdr:rowOff>142874</xdr:rowOff>
    </xdr:from>
    <xdr:to>
      <xdr:col>13</xdr:col>
      <xdr:colOff>1895475</xdr:colOff>
      <xdr:row>24</xdr:row>
      <xdr:rowOff>142874</xdr:rowOff>
    </xdr:to>
    <xdr:sp macro="" textlink="">
      <xdr:nvSpPr>
        <xdr:cNvPr id="4" name="Alder" hidden="1">
          <a:extLst>
            <a:ext uri="{FF2B5EF4-FFF2-40B4-BE49-F238E27FC236}">
              <a16:creationId xmlns:a16="http://schemas.microsoft.com/office/drawing/2014/main" id="{479CA7F5-5BD5-40D1-ADCA-FF0FACC03105}"/>
            </a:ext>
          </a:extLst>
        </xdr:cNvPr>
        <xdr:cNvSpPr txBox="1"/>
      </xdr:nvSpPr>
      <xdr:spPr>
        <a:xfrm>
          <a:off x="5191125" y="4057650"/>
          <a:ext cx="5191125" cy="742950"/>
        </a:xfrm>
        <a:prstGeom prst="rect">
          <a:avLst/>
        </a:prstGeom>
        <a:solidFill>
          <a:schemeClr val="accent2">
            <a:lumMod val="20000"/>
            <a:lumOff val="80000"/>
          </a:schemeClr>
        </a:solidFill>
        <a:ln w="38100"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r>
            <a:rPr lang="nb-NO" sz="1100" b="1" u="sng">
              <a:solidFill>
                <a:schemeClr val="tx1"/>
              </a:solidFill>
            </a:rPr>
            <a:t>For pasienter</a:t>
          </a:r>
          <a:r>
            <a:rPr lang="nb-NO" sz="1100" b="1" u="sng" baseline="0">
              <a:solidFill>
                <a:schemeClr val="tx1"/>
              </a:solidFill>
            </a:rPr>
            <a:t> over 80 år er det særlig viktig:</a:t>
          </a:r>
        </a:p>
        <a:p>
          <a:pPr marL="171450" indent="-171450">
            <a:buFont typeface="Arial" panose="020B0604020202020204" pitchFamily="34" charset="0"/>
            <a:buChar char="•"/>
          </a:pPr>
          <a:r>
            <a:rPr lang="nb-NO" sz="1100" b="1" u="none" baseline="0">
              <a:solidFill>
                <a:schemeClr val="tx1"/>
              </a:solidFill>
            </a:rPr>
            <a:t>At pasient er normohydrert og ikke hypotensiv.</a:t>
          </a:r>
        </a:p>
        <a:p>
          <a:pPr marL="171450" indent="-171450">
            <a:buFont typeface="Arial" panose="020B0604020202020204" pitchFamily="34" charset="0"/>
            <a:buChar char="•"/>
          </a:pPr>
          <a:r>
            <a:rPr lang="nb-NO" sz="1100" b="1" u="none" baseline="0">
              <a:solidFill>
                <a:schemeClr val="tx1"/>
              </a:solidFill>
            </a:rPr>
            <a:t>At NSAIDs og loopdiuretika vurderes nullet hvis det ikke er sterk indikasjon.</a:t>
          </a:r>
        </a:p>
        <a:p>
          <a:endParaRPr lang="nb-NO" sz="1100" b="1" u="none"/>
        </a:p>
      </xdr:txBody>
    </xdr:sp>
    <xdr:clientData/>
  </xdr:twoCellAnchor>
  <xdr:twoCellAnchor>
    <xdr:from>
      <xdr:col>4</xdr:col>
      <xdr:colOff>0</xdr:colOff>
      <xdr:row>17</xdr:row>
      <xdr:rowOff>0</xdr:rowOff>
    </xdr:from>
    <xdr:to>
      <xdr:col>4</xdr:col>
      <xdr:colOff>1631674</xdr:colOff>
      <xdr:row>18</xdr:row>
      <xdr:rowOff>0</xdr:rowOff>
    </xdr:to>
    <xdr:sp macro="" textlink="">
      <xdr:nvSpPr>
        <xdr:cNvPr id="10" name="TekstSylinder 9">
          <a:hlinkClick xmlns:r="http://schemas.openxmlformats.org/officeDocument/2006/relationships" r:id="rId2"/>
          <a:extLst>
            <a:ext uri="{FF2B5EF4-FFF2-40B4-BE49-F238E27FC236}">
              <a16:creationId xmlns:a16="http://schemas.microsoft.com/office/drawing/2014/main" id="{4E2F257B-CFA1-4E7C-AD06-43C515977733}"/>
            </a:ext>
          </a:extLst>
        </xdr:cNvPr>
        <xdr:cNvSpPr txBox="1"/>
      </xdr:nvSpPr>
      <xdr:spPr>
        <a:xfrm>
          <a:off x="2457450" y="3228975"/>
          <a:ext cx="1628775" cy="200025"/>
        </a:xfrm>
        <a:prstGeom prst="rect">
          <a:avLst/>
        </a:prstGeom>
        <a:noFill/>
        <a:ln w="19050"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lIns="91440" tIns="0" rIns="0" bIns="45720" rtlCol="0" anchor="t"/>
        <a:lstStyle/>
        <a:p>
          <a:r>
            <a:rPr lang="nb-NO" sz="1100" b="1" u="sng">
              <a:solidFill>
                <a:srgbClr val="FF0000"/>
              </a:solidFill>
            </a:rPr>
            <a:t>Bruk habituell kreatinin</a:t>
          </a:r>
        </a:p>
      </xdr:txBody>
    </xdr:sp>
    <xdr:clientData/>
  </xdr:twoCellAnchor>
  <xdr:twoCellAnchor>
    <xdr:from>
      <xdr:col>13</xdr:col>
      <xdr:colOff>9525</xdr:colOff>
      <xdr:row>17</xdr:row>
      <xdr:rowOff>57149</xdr:rowOff>
    </xdr:from>
    <xdr:to>
      <xdr:col>13</xdr:col>
      <xdr:colOff>2562225</xdr:colOff>
      <xdr:row>20</xdr:row>
      <xdr:rowOff>57149</xdr:rowOff>
    </xdr:to>
    <xdr:sp macro="" textlink="">
      <xdr:nvSpPr>
        <xdr:cNvPr id="11" name="BMIm" hidden="1">
          <a:extLst>
            <a:ext uri="{FF2B5EF4-FFF2-40B4-BE49-F238E27FC236}">
              <a16:creationId xmlns:a16="http://schemas.microsoft.com/office/drawing/2014/main" id="{D877C6F9-4616-4440-81DC-FEBD187F7BDB}"/>
            </a:ext>
          </a:extLst>
        </xdr:cNvPr>
        <xdr:cNvSpPr txBox="1"/>
      </xdr:nvSpPr>
      <xdr:spPr>
        <a:xfrm>
          <a:off x="8496300" y="3286125"/>
          <a:ext cx="2552700" cy="685800"/>
        </a:xfrm>
        <a:prstGeom prst="rect">
          <a:avLst/>
        </a:prstGeom>
        <a:solidFill>
          <a:schemeClr val="accent4">
            <a:lumMod val="20000"/>
            <a:lumOff val="80000"/>
          </a:schemeClr>
        </a:solidFill>
        <a:ln w="38100"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r>
            <a:rPr lang="nb-NO" sz="1100" b="1" u="sng" baseline="0">
              <a:solidFill>
                <a:schemeClr val="tx1"/>
              </a:solidFill>
              <a:effectLst/>
              <a:latin typeface="+mn-lt"/>
              <a:ea typeface="+mn-ea"/>
              <a:cs typeface="+mn-cs"/>
            </a:rPr>
            <a:t>BMI er mellom 30-35 :</a:t>
          </a:r>
          <a:endParaRPr lang="nb-NO">
            <a:solidFill>
              <a:srgbClr val="000000"/>
            </a:solidFill>
            <a:effectLst/>
          </a:endParaRPr>
        </a:p>
        <a:p>
          <a:r>
            <a:rPr lang="nb-NO" sz="1100" b="1" baseline="0">
              <a:solidFill>
                <a:schemeClr val="tx1"/>
              </a:solidFill>
              <a:effectLst/>
              <a:latin typeface="+mn-lt"/>
              <a:ea typeface="+mn-ea"/>
              <a:cs typeface="+mn-cs"/>
            </a:rPr>
            <a:t>Vurder 8-timersprøve ved høy nefrotoksisk byrde.</a:t>
          </a:r>
          <a:endParaRPr lang="nb-NO">
            <a:solidFill>
              <a:srgbClr val="000000"/>
            </a:solidFill>
            <a:effectLst/>
          </a:endParaRPr>
        </a:p>
        <a:p>
          <a:endParaRPr lang="nb-NO" sz="1100" b="1" u="sng"/>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819150</xdr:colOff>
      <xdr:row>1</xdr:row>
      <xdr:rowOff>19050</xdr:rowOff>
    </xdr:from>
    <xdr:to>
      <xdr:col>8</xdr:col>
      <xdr:colOff>85725</xdr:colOff>
      <xdr:row>7</xdr:row>
      <xdr:rowOff>85725</xdr:rowOff>
    </xdr:to>
    <xdr:sp macro="" textlink="">
      <xdr:nvSpPr>
        <xdr:cNvPr id="2" name="TekstSylinder 1">
          <a:hlinkClick xmlns:r="http://schemas.openxmlformats.org/officeDocument/2006/relationships" r:id="rId1"/>
          <a:extLst>
            <a:ext uri="{FF2B5EF4-FFF2-40B4-BE49-F238E27FC236}">
              <a16:creationId xmlns:a16="http://schemas.microsoft.com/office/drawing/2014/main" id="{F80D8646-C062-4554-B89F-1B8D0B19FC6B}"/>
            </a:ext>
          </a:extLst>
        </xdr:cNvPr>
        <xdr:cNvSpPr txBox="1">
          <a:spLocks noChangeAspect="1"/>
        </xdr:cNvSpPr>
      </xdr:nvSpPr>
      <xdr:spPr>
        <a:xfrm>
          <a:off x="8763000" y="342900"/>
          <a:ext cx="2886075" cy="1219200"/>
        </a:xfrm>
        <a:prstGeom prst="rect">
          <a:avLst/>
        </a:prstGeom>
        <a:solidFill>
          <a:schemeClr val="accent6">
            <a:lumMod val="60000"/>
            <a:lumOff val="40000"/>
          </a:schemeClr>
        </a:solidFill>
        <a:ln w="38100"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r>
            <a:rPr lang="nb-NO" sz="3000" b="1" u="none">
              <a:solidFill>
                <a:schemeClr val="tx1"/>
              </a:solidFill>
            </a:rPr>
            <a:t>Tilbake til Gentacalc</a:t>
          </a:r>
        </a:p>
      </xdr:txBody>
    </xdr:sp>
    <xdr:clientData/>
  </xdr:twoCellAnchor>
  <xdr:twoCellAnchor>
    <xdr:from>
      <xdr:col>4</xdr:col>
      <xdr:colOff>171448</xdr:colOff>
      <xdr:row>4</xdr:row>
      <xdr:rowOff>180975</xdr:rowOff>
    </xdr:from>
    <xdr:to>
      <xdr:col>5</xdr:col>
      <xdr:colOff>47625</xdr:colOff>
      <xdr:row>6</xdr:row>
      <xdr:rowOff>142875</xdr:rowOff>
    </xdr:to>
    <xdr:sp macro="" textlink="">
      <xdr:nvSpPr>
        <xdr:cNvPr id="3" name="Pil høyre 2">
          <a:extLst>
            <a:ext uri="{FF2B5EF4-FFF2-40B4-BE49-F238E27FC236}">
              <a16:creationId xmlns:a16="http://schemas.microsoft.com/office/drawing/2014/main" id="{28498FAD-B8E2-432A-B7BF-4066541F5A64}"/>
            </a:ext>
          </a:extLst>
        </xdr:cNvPr>
        <xdr:cNvSpPr/>
      </xdr:nvSpPr>
      <xdr:spPr>
        <a:xfrm>
          <a:off x="4572000" y="1104900"/>
          <a:ext cx="971550" cy="333375"/>
        </a:xfrm>
        <a:prstGeom prst="rightArrow">
          <a:avLst/>
        </a:prstGeom>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nb-NO" sz="1100"/>
        </a:p>
      </xdr:txBody>
    </xdr:sp>
    <xdr:clientData/>
  </xdr:twoCellAnchor>
  <xdr:twoCellAnchor>
    <xdr:from>
      <xdr:col>5</xdr:col>
      <xdr:colOff>276223</xdr:colOff>
      <xdr:row>4</xdr:row>
      <xdr:rowOff>47623</xdr:rowOff>
    </xdr:from>
    <xdr:to>
      <xdr:col>5</xdr:col>
      <xdr:colOff>2254251</xdr:colOff>
      <xdr:row>7</xdr:row>
      <xdr:rowOff>95249</xdr:rowOff>
    </xdr:to>
    <xdr:sp macro="" textlink="">
      <xdr:nvSpPr>
        <xdr:cNvPr id="4" name="TekstSylinder 3">
          <a:extLst>
            <a:ext uri="{FF2B5EF4-FFF2-40B4-BE49-F238E27FC236}">
              <a16:creationId xmlns:a16="http://schemas.microsoft.com/office/drawing/2014/main" id="{F03325CD-22D8-46A4-8130-280DBA2414CB}"/>
            </a:ext>
          </a:extLst>
        </xdr:cNvPr>
        <xdr:cNvSpPr txBox="1"/>
      </xdr:nvSpPr>
      <xdr:spPr>
        <a:xfrm>
          <a:off x="5772150" y="971550"/>
          <a:ext cx="1981200" cy="600075"/>
        </a:xfrm>
        <a:prstGeom prst="rect">
          <a:avLst/>
        </a:prstGeom>
        <a:solidFill>
          <a:schemeClr val="accent2">
            <a:lumMod val="20000"/>
            <a:lumOff val="80000"/>
          </a:schemeClr>
        </a:solidFill>
        <a:ln w="38100"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r>
            <a:rPr lang="nb-NO" sz="1100" b="1">
              <a:solidFill>
                <a:schemeClr val="tx1"/>
              </a:solidFill>
              <a:effectLst/>
              <a:latin typeface="+mn-lt"/>
              <a:ea typeface="+mn-ea"/>
              <a:cs typeface="+mn-cs"/>
            </a:rPr>
            <a:t>Vurder å</a:t>
          </a:r>
          <a:r>
            <a:rPr lang="nb-NO" sz="1100" b="1" baseline="0">
              <a:solidFill>
                <a:schemeClr val="tx1"/>
              </a:solidFill>
              <a:effectLst/>
              <a:latin typeface="+mn-lt"/>
              <a:ea typeface="+mn-ea"/>
              <a:cs typeface="+mn-cs"/>
            </a:rPr>
            <a:t> seponere gentamicin</a:t>
          </a:r>
          <a:endParaRPr lang="nb-NO">
            <a:solidFill>
              <a:srgbClr val="000000"/>
            </a:solidFill>
            <a:effectLst/>
          </a:endParaRPr>
        </a:p>
        <a:p>
          <a:r>
            <a:rPr lang="nb-NO" sz="1100" b="1" baseline="0">
              <a:solidFill>
                <a:schemeClr val="tx1"/>
              </a:solidFill>
              <a:effectLst/>
              <a:latin typeface="+mn-lt"/>
              <a:ea typeface="+mn-ea"/>
              <a:cs typeface="+mn-cs"/>
            </a:rPr>
            <a:t>Vurder å bytte antibiotika</a:t>
          </a:r>
          <a:endParaRPr lang="nb-NO">
            <a:solidFill>
              <a:srgbClr val="000000"/>
            </a:solidFill>
            <a:effectLst/>
          </a:endParaRPr>
        </a:p>
      </xdr:txBody>
    </xdr:sp>
    <xdr:clientData/>
  </xdr:twoCellAnchor>
  <xdr:twoCellAnchor>
    <xdr:from>
      <xdr:col>2</xdr:col>
      <xdr:colOff>123825</xdr:colOff>
      <xdr:row>8</xdr:row>
      <xdr:rowOff>114300</xdr:rowOff>
    </xdr:from>
    <xdr:to>
      <xdr:col>2</xdr:col>
      <xdr:colOff>438150</xdr:colOff>
      <xdr:row>11</xdr:row>
      <xdr:rowOff>133350</xdr:rowOff>
    </xdr:to>
    <xdr:sp macro="" textlink="">
      <xdr:nvSpPr>
        <xdr:cNvPr id="5" name="Pil ned 4">
          <a:extLst>
            <a:ext uri="{FF2B5EF4-FFF2-40B4-BE49-F238E27FC236}">
              <a16:creationId xmlns:a16="http://schemas.microsoft.com/office/drawing/2014/main" id="{B04AE8D9-656D-4C6C-8B4A-2B7F6B2482D4}"/>
            </a:ext>
          </a:extLst>
        </xdr:cNvPr>
        <xdr:cNvSpPr/>
      </xdr:nvSpPr>
      <xdr:spPr>
        <a:xfrm>
          <a:off x="628650" y="1771650"/>
          <a:ext cx="314325" cy="581025"/>
        </a:xfrm>
        <a:prstGeom prst="downArrow">
          <a:avLst/>
        </a:prstGeom>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nb-NO" sz="1100"/>
        </a:p>
      </xdr:txBody>
    </xdr:sp>
    <xdr:clientData/>
  </xdr:twoCellAnchor>
  <xdr:twoCellAnchor>
    <xdr:from>
      <xdr:col>4</xdr:col>
      <xdr:colOff>114300</xdr:colOff>
      <xdr:row>13</xdr:row>
      <xdr:rowOff>180975</xdr:rowOff>
    </xdr:from>
    <xdr:to>
      <xdr:col>5</xdr:col>
      <xdr:colOff>19050</xdr:colOff>
      <xdr:row>15</xdr:row>
      <xdr:rowOff>152400</xdr:rowOff>
    </xdr:to>
    <xdr:sp macro="" textlink="">
      <xdr:nvSpPr>
        <xdr:cNvPr id="6" name="Pil høyre 5">
          <a:extLst>
            <a:ext uri="{FF2B5EF4-FFF2-40B4-BE49-F238E27FC236}">
              <a16:creationId xmlns:a16="http://schemas.microsoft.com/office/drawing/2014/main" id="{3F2DED6D-D357-484D-9F48-6771F5C154A6}"/>
            </a:ext>
          </a:extLst>
        </xdr:cNvPr>
        <xdr:cNvSpPr/>
      </xdr:nvSpPr>
      <xdr:spPr>
        <a:xfrm>
          <a:off x="4514850" y="2781300"/>
          <a:ext cx="1000125" cy="361950"/>
        </a:xfrm>
        <a:prstGeom prst="rightArrow">
          <a:avLst/>
        </a:prstGeom>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nb-NO" sz="1100"/>
        </a:p>
      </xdr:txBody>
    </xdr:sp>
    <xdr:clientData/>
  </xdr:twoCellAnchor>
  <xdr:twoCellAnchor>
    <xdr:from>
      <xdr:col>5</xdr:col>
      <xdr:colOff>295275</xdr:colOff>
      <xdr:row>12</xdr:row>
      <xdr:rowOff>180976</xdr:rowOff>
    </xdr:from>
    <xdr:to>
      <xdr:col>5</xdr:col>
      <xdr:colOff>2266950</xdr:colOff>
      <xdr:row>16</xdr:row>
      <xdr:rowOff>57151</xdr:rowOff>
    </xdr:to>
    <xdr:sp macro="" textlink="">
      <xdr:nvSpPr>
        <xdr:cNvPr id="7" name="TekstSylinder 6">
          <a:extLst>
            <a:ext uri="{FF2B5EF4-FFF2-40B4-BE49-F238E27FC236}">
              <a16:creationId xmlns:a16="http://schemas.microsoft.com/office/drawing/2014/main" id="{D62B6502-4D68-40F9-87AD-A5FA514566CC}"/>
            </a:ext>
          </a:extLst>
        </xdr:cNvPr>
        <xdr:cNvSpPr txBox="1"/>
      </xdr:nvSpPr>
      <xdr:spPr>
        <a:xfrm>
          <a:off x="5791200" y="2600325"/>
          <a:ext cx="1971675" cy="628650"/>
        </a:xfrm>
        <a:prstGeom prst="rect">
          <a:avLst/>
        </a:prstGeom>
        <a:solidFill>
          <a:schemeClr val="accent2">
            <a:lumMod val="20000"/>
            <a:lumOff val="80000"/>
          </a:schemeClr>
        </a:solidFill>
        <a:ln w="38100"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r>
            <a:rPr lang="nb-NO" sz="1100" b="1" u="none">
              <a:solidFill>
                <a:schemeClr val="tx1"/>
              </a:solidFill>
            </a:rPr>
            <a:t>Fortsett med gentamicin kun etter konferering med infeksjonsmedisiner</a:t>
          </a:r>
        </a:p>
      </xdr:txBody>
    </xdr:sp>
    <xdr:clientData/>
  </xdr:twoCellAnchor>
  <xdr:twoCellAnchor>
    <xdr:from>
      <xdr:col>2</xdr:col>
      <xdr:colOff>114300</xdr:colOff>
      <xdr:row>17</xdr:row>
      <xdr:rowOff>123825</xdr:rowOff>
    </xdr:from>
    <xdr:to>
      <xdr:col>2</xdr:col>
      <xdr:colOff>428625</xdr:colOff>
      <xdr:row>20</xdr:row>
      <xdr:rowOff>114300</xdr:rowOff>
    </xdr:to>
    <xdr:sp macro="" textlink="">
      <xdr:nvSpPr>
        <xdr:cNvPr id="8" name="Pil ned 7">
          <a:extLst>
            <a:ext uri="{FF2B5EF4-FFF2-40B4-BE49-F238E27FC236}">
              <a16:creationId xmlns:a16="http://schemas.microsoft.com/office/drawing/2014/main" id="{DE6D348C-3935-4361-9161-344EFF51CC10}"/>
            </a:ext>
          </a:extLst>
        </xdr:cNvPr>
        <xdr:cNvSpPr/>
      </xdr:nvSpPr>
      <xdr:spPr>
        <a:xfrm>
          <a:off x="619125" y="3476625"/>
          <a:ext cx="314325" cy="571500"/>
        </a:xfrm>
        <a:prstGeom prst="downArrow">
          <a:avLst/>
        </a:prstGeom>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nb-NO"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62865</xdr:colOff>
      <xdr:row>17</xdr:row>
      <xdr:rowOff>41910</xdr:rowOff>
    </xdr:from>
    <xdr:to>
      <xdr:col>3</xdr:col>
      <xdr:colOff>3398520</xdr:colOff>
      <xdr:row>38</xdr:row>
      <xdr:rowOff>114300</xdr:rowOff>
    </xdr:to>
    <xdr:pic>
      <xdr:nvPicPr>
        <xdr:cNvPr id="2" name="Bilde 1">
          <a:extLst>
            <a:ext uri="{FF2B5EF4-FFF2-40B4-BE49-F238E27FC236}">
              <a16:creationId xmlns:a16="http://schemas.microsoft.com/office/drawing/2014/main" id="{62283D0A-5E55-4D93-90EC-02AE4C1289A0}"/>
            </a:ext>
          </a:extLst>
        </xdr:cNvPr>
        <xdr:cNvPicPr>
          <a:picLocks noChangeAspect="1"/>
        </xdr:cNvPicPr>
      </xdr:nvPicPr>
      <xdr:blipFill>
        <a:blip xmlns:r="http://schemas.openxmlformats.org/officeDocument/2006/relationships" r:embed="rId1"/>
        <a:stretch>
          <a:fillRect/>
        </a:stretch>
      </xdr:blipFill>
      <xdr:spPr>
        <a:xfrm>
          <a:off x="276225" y="4581525"/>
          <a:ext cx="6724650" cy="3876675"/>
        </a:xfrm>
        <a:prstGeom prst="rect">
          <a:avLst/>
        </a:prstGeom>
      </xdr:spPr>
    </xdr:pic>
    <xdr:clientData/>
  </xdr:twoCellAnchor>
  <xdr:twoCellAnchor editAs="oneCell">
    <xdr:from>
      <xdr:col>0</xdr:col>
      <xdr:colOff>188595</xdr:colOff>
      <xdr:row>41</xdr:row>
      <xdr:rowOff>81914</xdr:rowOff>
    </xdr:from>
    <xdr:to>
      <xdr:col>3</xdr:col>
      <xdr:colOff>3388995</xdr:colOff>
      <xdr:row>60</xdr:row>
      <xdr:rowOff>95249</xdr:rowOff>
    </xdr:to>
    <xdr:pic>
      <xdr:nvPicPr>
        <xdr:cNvPr id="3" name="Bilde 2">
          <a:extLst>
            <a:ext uri="{FF2B5EF4-FFF2-40B4-BE49-F238E27FC236}">
              <a16:creationId xmlns:a16="http://schemas.microsoft.com/office/drawing/2014/main" id="{82F01FD0-9BEC-4ED7-B8B4-FD75DB765083}"/>
            </a:ext>
          </a:extLst>
        </xdr:cNvPr>
        <xdr:cNvPicPr>
          <a:picLocks noChangeAspect="1"/>
        </xdr:cNvPicPr>
      </xdr:nvPicPr>
      <xdr:blipFill>
        <a:blip xmlns:r="http://schemas.openxmlformats.org/officeDocument/2006/relationships" r:embed="rId2"/>
        <a:stretch>
          <a:fillRect/>
        </a:stretch>
      </xdr:blipFill>
      <xdr:spPr>
        <a:xfrm>
          <a:off x="190500" y="8982075"/>
          <a:ext cx="6800850" cy="3457575"/>
        </a:xfrm>
        <a:prstGeom prst="rect">
          <a:avLst/>
        </a:prstGeom>
      </xdr:spPr>
    </xdr:pic>
    <xdr:clientData/>
  </xdr:twoCellAnchor>
  <xdr:twoCellAnchor editAs="oneCell">
    <xdr:from>
      <xdr:col>3</xdr:col>
      <xdr:colOff>1257300</xdr:colOff>
      <xdr:row>0</xdr:row>
      <xdr:rowOff>133351</xdr:rowOff>
    </xdr:from>
    <xdr:to>
      <xdr:col>4</xdr:col>
      <xdr:colOff>104775</xdr:colOff>
      <xdr:row>5</xdr:row>
      <xdr:rowOff>76201</xdr:rowOff>
    </xdr:to>
    <xdr:sp macro="" textlink="">
      <xdr:nvSpPr>
        <xdr:cNvPr id="4" name="TekstSylinder 3">
          <a:hlinkClick xmlns:r="http://schemas.openxmlformats.org/officeDocument/2006/relationships" r:id="rId3"/>
          <a:extLst>
            <a:ext uri="{FF2B5EF4-FFF2-40B4-BE49-F238E27FC236}">
              <a16:creationId xmlns:a16="http://schemas.microsoft.com/office/drawing/2014/main" id="{4FC24938-812F-4481-BAEB-81EDA5DAD1E8}"/>
            </a:ext>
          </a:extLst>
        </xdr:cNvPr>
        <xdr:cNvSpPr txBox="1">
          <a:spLocks noChangeAspect="1"/>
        </xdr:cNvSpPr>
      </xdr:nvSpPr>
      <xdr:spPr>
        <a:xfrm>
          <a:off x="4857750" y="133350"/>
          <a:ext cx="2886075" cy="1066800"/>
        </a:xfrm>
        <a:prstGeom prst="rect">
          <a:avLst/>
        </a:prstGeom>
        <a:solidFill>
          <a:schemeClr val="accent6">
            <a:lumMod val="60000"/>
            <a:lumOff val="40000"/>
          </a:schemeClr>
        </a:solidFill>
        <a:ln w="38100"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r>
            <a:rPr lang="nb-NO" sz="3000" b="1" u="none">
              <a:solidFill>
                <a:schemeClr val="tx1"/>
              </a:solidFill>
            </a:rPr>
            <a:t>Tilbake til Gentacalc</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2383155</xdr:colOff>
      <xdr:row>2</xdr:row>
      <xdr:rowOff>160019</xdr:rowOff>
    </xdr:from>
    <xdr:to>
      <xdr:col>5</xdr:col>
      <xdr:colOff>358140</xdr:colOff>
      <xdr:row>8</xdr:row>
      <xdr:rowOff>68580</xdr:rowOff>
    </xdr:to>
    <xdr:sp macro="" textlink="">
      <xdr:nvSpPr>
        <xdr:cNvPr id="3" name="TekstSylinder 2">
          <a:hlinkClick xmlns:r="http://schemas.openxmlformats.org/officeDocument/2006/relationships" r:id="rId1"/>
          <a:extLst>
            <a:ext uri="{FF2B5EF4-FFF2-40B4-BE49-F238E27FC236}">
              <a16:creationId xmlns:a16="http://schemas.microsoft.com/office/drawing/2014/main" id="{6D0A6859-3A69-4CEB-B1CD-D7322965BF2D}"/>
            </a:ext>
          </a:extLst>
        </xdr:cNvPr>
        <xdr:cNvSpPr txBox="1"/>
      </xdr:nvSpPr>
      <xdr:spPr>
        <a:xfrm>
          <a:off x="6096000" y="742950"/>
          <a:ext cx="3657600" cy="1323975"/>
        </a:xfrm>
        <a:prstGeom prst="rect">
          <a:avLst/>
        </a:prstGeom>
        <a:solidFill>
          <a:schemeClr val="accent6">
            <a:lumMod val="60000"/>
            <a:lumOff val="40000"/>
          </a:schemeClr>
        </a:solidFill>
        <a:ln w="38100"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r>
            <a:rPr lang="nb-NO" sz="3000" b="1" u="none">
              <a:solidFill>
                <a:schemeClr val="tx1"/>
              </a:solidFill>
            </a:rPr>
            <a:t>Tilbake til Gentacalc</a:t>
          </a:r>
        </a:p>
      </xdr:txBody>
    </xdr:sp>
    <xdr:clientData/>
  </xdr:twoCellAnchor>
  <xdr:twoCellAnchor>
    <xdr:from>
      <xdr:col>0</xdr:col>
      <xdr:colOff>83819</xdr:colOff>
      <xdr:row>2</xdr:row>
      <xdr:rowOff>152400</xdr:rowOff>
    </xdr:from>
    <xdr:to>
      <xdr:col>2</xdr:col>
      <xdr:colOff>2076450</xdr:colOff>
      <xdr:row>8</xdr:row>
      <xdr:rowOff>85725</xdr:rowOff>
    </xdr:to>
    <xdr:sp macro="" textlink="">
      <xdr:nvSpPr>
        <xdr:cNvPr id="2" name="TekstSylinder 1">
          <a:extLst>
            <a:ext uri="{FF2B5EF4-FFF2-40B4-BE49-F238E27FC236}">
              <a16:creationId xmlns:a16="http://schemas.microsoft.com/office/drawing/2014/main" id="{041B9077-69FE-458F-A7B7-4D8A2DBBD86D}"/>
            </a:ext>
          </a:extLst>
        </xdr:cNvPr>
        <xdr:cNvSpPr txBox="1"/>
      </xdr:nvSpPr>
      <xdr:spPr>
        <a:xfrm>
          <a:off x="85725" y="733425"/>
          <a:ext cx="5705475" cy="1352550"/>
        </a:xfrm>
        <a:prstGeom prst="rect">
          <a:avLst/>
        </a:prstGeom>
        <a:solidFill>
          <a:schemeClr val="accent1">
            <a:lumMod val="40000"/>
            <a:lumOff val="60000"/>
          </a:schemeClr>
        </a:solidFill>
        <a:ln w="38100"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r>
            <a:rPr lang="nb-NO" sz="1100" b="1">
              <a:solidFill>
                <a:schemeClr val="tx1"/>
              </a:solidFill>
              <a:effectLst/>
              <a:latin typeface="+mn-lt"/>
              <a:ea typeface="+mn-ea"/>
              <a:cs typeface="+mn-cs"/>
            </a:rPr>
            <a:t>Hovedbudskap:</a:t>
          </a:r>
          <a:endParaRPr lang="nb-NO" sz="1100">
            <a:solidFill>
              <a:schemeClr val="tx1"/>
            </a:solidFill>
            <a:effectLst/>
            <a:latin typeface="+mn-lt"/>
            <a:ea typeface="+mn-ea"/>
            <a:cs typeface="+mn-cs"/>
          </a:endParaRPr>
        </a:p>
        <a:p>
          <a:pPr marL="171450" lvl="0" indent="-171450">
            <a:buFont typeface="Arial" panose="020B0604020202020204" pitchFamily="34" charset="0"/>
            <a:buChar char="•"/>
          </a:pPr>
          <a:r>
            <a:rPr lang="nb-NO" sz="1100">
              <a:solidFill>
                <a:schemeClr val="tx1"/>
              </a:solidFill>
              <a:effectLst/>
              <a:latin typeface="+mn-lt"/>
              <a:ea typeface="+mn-ea"/>
              <a:cs typeface="+mn-cs"/>
            </a:rPr>
            <a:t>Dosering avhenger av kreatinin. Vesentlig avvik av muskelmasse vil derfor kunne gi unøyaktig    dosering, for eksempel overvektige med høy frailty og lite muskulatur. 8-timersprøve tas i disse tilfellene. Se punkt 4.1. og punkt 5.2. for detaljer. </a:t>
          </a:r>
        </a:p>
        <a:p>
          <a:pPr marL="171450" lvl="0" indent="-171450">
            <a:buFont typeface="Arial" panose="020B0604020202020204" pitchFamily="34" charset="0"/>
            <a:buChar char="•"/>
          </a:pPr>
          <a:r>
            <a:rPr lang="nb-NO" sz="1100">
              <a:solidFill>
                <a:schemeClr val="tx1"/>
              </a:solidFill>
              <a:effectLst/>
              <a:latin typeface="+mn-lt"/>
              <a:ea typeface="+mn-ea"/>
              <a:cs typeface="+mn-cs"/>
            </a:rPr>
            <a:t>NSAIDs og furosemid bør nulles hvis ikke sterk indikasjon. Viktig at pasienten er normohydrert og normotensiv. </a:t>
          </a:r>
        </a:p>
        <a:p>
          <a:br>
            <a:rPr lang="nb-NO" sz="1100">
              <a:solidFill>
                <a:schemeClr val="tx1"/>
              </a:solidFill>
              <a:effectLst/>
              <a:latin typeface="+mn-lt"/>
              <a:ea typeface="+mn-ea"/>
              <a:cs typeface="+mn-cs"/>
            </a:rPr>
          </a:br>
          <a:endParaRPr lang="nb-NO" sz="1100" b="1" u="sng"/>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45244</xdr:colOff>
      <xdr:row>11</xdr:row>
      <xdr:rowOff>178594</xdr:rowOff>
    </xdr:from>
    <xdr:to>
      <xdr:col>9</xdr:col>
      <xdr:colOff>169937</xdr:colOff>
      <xdr:row>59</xdr:row>
      <xdr:rowOff>75081</xdr:rowOff>
    </xdr:to>
    <xdr:pic>
      <xdr:nvPicPr>
        <xdr:cNvPr id="8" name="Bilde 7">
          <a:extLst>
            <a:ext uri="{FF2B5EF4-FFF2-40B4-BE49-F238E27FC236}">
              <a16:creationId xmlns:a16="http://schemas.microsoft.com/office/drawing/2014/main" id="{8EB9C020-A0EA-4DC0-B036-50A83341ED24}"/>
            </a:ext>
          </a:extLst>
        </xdr:cNvPr>
        <xdr:cNvPicPr>
          <a:picLocks noChangeAspect="1"/>
        </xdr:cNvPicPr>
      </xdr:nvPicPr>
      <xdr:blipFill>
        <a:blip xmlns:r="http://schemas.openxmlformats.org/officeDocument/2006/relationships" r:embed="rId1"/>
        <a:stretch>
          <a:fillRect/>
        </a:stretch>
      </xdr:blipFill>
      <xdr:spPr>
        <a:xfrm>
          <a:off x="809625" y="2686050"/>
          <a:ext cx="6219825" cy="8582025"/>
        </a:xfrm>
        <a:prstGeom prst="rect">
          <a:avLst/>
        </a:prstGeom>
        <a:ln w="25400">
          <a:solidFill>
            <a:srgbClr val="00B0F0"/>
          </a:solidFill>
        </a:ln>
      </xdr:spPr>
    </xdr:pic>
    <xdr:clientData/>
  </xdr:twoCellAnchor>
  <xdr:twoCellAnchor editAs="oneCell">
    <xdr:from>
      <xdr:col>11</xdr:col>
      <xdr:colOff>95250</xdr:colOff>
      <xdr:row>11</xdr:row>
      <xdr:rowOff>148166</xdr:rowOff>
    </xdr:from>
    <xdr:to>
      <xdr:col>19</xdr:col>
      <xdr:colOff>485610</xdr:colOff>
      <xdr:row>59</xdr:row>
      <xdr:rowOff>54179</xdr:rowOff>
    </xdr:to>
    <xdr:pic>
      <xdr:nvPicPr>
        <xdr:cNvPr id="10" name="Bilde 9">
          <a:extLst>
            <a:ext uri="{FF2B5EF4-FFF2-40B4-BE49-F238E27FC236}">
              <a16:creationId xmlns:a16="http://schemas.microsoft.com/office/drawing/2014/main" id="{F15AE73E-BFCA-4FB1-9EB5-9D4AF0010649}"/>
            </a:ext>
          </a:extLst>
        </xdr:cNvPr>
        <xdr:cNvPicPr>
          <a:picLocks noChangeAspect="1"/>
        </xdr:cNvPicPr>
      </xdr:nvPicPr>
      <xdr:blipFill>
        <a:blip xmlns:r="http://schemas.openxmlformats.org/officeDocument/2006/relationships" r:embed="rId2"/>
        <a:stretch>
          <a:fillRect/>
        </a:stretch>
      </xdr:blipFill>
      <xdr:spPr>
        <a:xfrm>
          <a:off x="8477250" y="2657475"/>
          <a:ext cx="6400800" cy="8591550"/>
        </a:xfrm>
        <a:prstGeom prst="rect">
          <a:avLst/>
        </a:prstGeom>
        <a:ln w="25400">
          <a:solidFill>
            <a:srgbClr val="00B0F0"/>
          </a:solidFill>
        </a:ln>
      </xdr:spPr>
    </xdr:pic>
    <xdr:clientData/>
  </xdr:twoCellAnchor>
  <xdr:twoCellAnchor editAs="oneCell">
    <xdr:from>
      <xdr:col>16</xdr:col>
      <xdr:colOff>387351</xdr:colOff>
      <xdr:row>2</xdr:row>
      <xdr:rowOff>112184</xdr:rowOff>
    </xdr:from>
    <xdr:to>
      <xdr:col>20</xdr:col>
      <xdr:colOff>225425</xdr:colOff>
      <xdr:row>7</xdr:row>
      <xdr:rowOff>171450</xdr:rowOff>
    </xdr:to>
    <xdr:sp macro="" textlink="">
      <xdr:nvSpPr>
        <xdr:cNvPr id="4" name="TekstSylinder 3">
          <a:hlinkClick xmlns:r="http://schemas.openxmlformats.org/officeDocument/2006/relationships" r:id="rId3"/>
          <a:extLst>
            <a:ext uri="{FF2B5EF4-FFF2-40B4-BE49-F238E27FC236}">
              <a16:creationId xmlns:a16="http://schemas.microsoft.com/office/drawing/2014/main" id="{32F0D0FB-182A-48BB-B07C-A30501E58BC4}"/>
            </a:ext>
          </a:extLst>
        </xdr:cNvPr>
        <xdr:cNvSpPr txBox="1">
          <a:spLocks noChangeAspect="1"/>
        </xdr:cNvSpPr>
      </xdr:nvSpPr>
      <xdr:spPr>
        <a:xfrm>
          <a:off x="12496800" y="666750"/>
          <a:ext cx="2886075" cy="1200150"/>
        </a:xfrm>
        <a:prstGeom prst="rect">
          <a:avLst/>
        </a:prstGeom>
        <a:solidFill>
          <a:schemeClr val="accent6">
            <a:lumMod val="60000"/>
            <a:lumOff val="40000"/>
          </a:schemeClr>
        </a:solidFill>
        <a:ln w="38100"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r>
            <a:rPr lang="nb-NO" sz="3000" b="1" u="none">
              <a:solidFill>
                <a:schemeClr val="tx1"/>
              </a:solidFill>
            </a:rPr>
            <a:t>Tilbake til Gentacalc</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66674</xdr:colOff>
      <xdr:row>0</xdr:row>
      <xdr:rowOff>85725</xdr:rowOff>
    </xdr:from>
    <xdr:to>
      <xdr:col>11</xdr:col>
      <xdr:colOff>523875</xdr:colOff>
      <xdr:row>39</xdr:row>
      <xdr:rowOff>180975</xdr:rowOff>
    </xdr:to>
    <xdr:sp macro="" textlink="">
      <xdr:nvSpPr>
        <xdr:cNvPr id="2" name="TekstSylinder 1">
          <a:extLst>
            <a:ext uri="{FF2B5EF4-FFF2-40B4-BE49-F238E27FC236}">
              <a16:creationId xmlns:a16="http://schemas.microsoft.com/office/drawing/2014/main" id="{C39624AD-DE50-44B5-A1A5-DAEEB66AAAB3}"/>
            </a:ext>
          </a:extLst>
        </xdr:cNvPr>
        <xdr:cNvSpPr txBox="1"/>
      </xdr:nvSpPr>
      <xdr:spPr>
        <a:xfrm>
          <a:off x="66675" y="85725"/>
          <a:ext cx="8839200" cy="7153275"/>
        </a:xfrm>
        <a:prstGeom prst="rect">
          <a:avLst/>
        </a:prstGeom>
        <a:solidFill>
          <a:schemeClr val="accent1">
            <a:lumMod val="20000"/>
            <a:lumOff val="80000"/>
          </a:schemeClr>
        </a:solidFill>
        <a:ln w="38100"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l"/>
          <a:r>
            <a:rPr lang="nb-NO" sz="1400" b="1">
              <a:solidFill>
                <a:schemeClr val="tx1"/>
              </a:solidFill>
              <a:effectLst/>
              <a:latin typeface="+mn-lt"/>
              <a:ea typeface="+mn-ea"/>
              <a:cs typeface="+mn-cs"/>
            </a:rPr>
            <a:t>Referanser:</a:t>
          </a:r>
        </a:p>
        <a:p>
          <a:pPr algn="l"/>
          <a:endParaRPr lang="nb-NO" sz="1400">
            <a:solidFill>
              <a:schemeClr val="tx1"/>
            </a:solidFill>
            <a:effectLst/>
            <a:latin typeface="+mn-lt"/>
            <a:ea typeface="+mn-ea"/>
            <a:cs typeface="+mn-cs"/>
          </a:endParaRPr>
        </a:p>
        <a:p>
          <a:pPr marL="228600" lvl="0" indent="-228600">
            <a:buFont typeface="+mj-lt"/>
            <a:buAutoNum type="arabicPeriod"/>
          </a:pPr>
          <a:r>
            <a:rPr lang="nb-NO" sz="1100">
              <a:solidFill>
                <a:schemeClr val="tx1"/>
              </a:solidFill>
              <a:effectLst/>
              <a:latin typeface="+mn-lt"/>
              <a:ea typeface="+mn-ea"/>
              <a:cs typeface="+mn-cs"/>
            </a:rPr>
            <a:t>Helsedirektoratet. Antibiotika i Sykehus, nasjonal faglig retningslinje. [Hentet 12. jan 2022]. Tilgjengelig fra:</a:t>
          </a:r>
          <a:br>
            <a:rPr lang="nb-NO" sz="1100">
              <a:solidFill>
                <a:schemeClr val="tx1"/>
              </a:solidFill>
              <a:effectLst/>
              <a:latin typeface="+mn-lt"/>
              <a:ea typeface="+mn-ea"/>
              <a:cs typeface="+mn-cs"/>
            </a:rPr>
          </a:br>
          <a:r>
            <a:rPr lang="nb-NO" sz="1100" u="sng">
              <a:solidFill>
                <a:schemeClr val="tx1"/>
              </a:solidFill>
              <a:effectLst/>
              <a:latin typeface="+mn-lt"/>
              <a:ea typeface="+mn-ea"/>
              <a:cs typeface="+mn-cs"/>
            </a:rPr>
            <a:t>https://www.helsedirektoratet.no/retningslinjer/antibiotika-i-sykehus</a:t>
          </a:r>
          <a:endParaRPr lang="nb-NO" sz="1100">
            <a:solidFill>
              <a:schemeClr val="tx1"/>
            </a:solidFill>
            <a:effectLst/>
            <a:latin typeface="+mn-lt"/>
            <a:ea typeface="+mn-ea"/>
            <a:cs typeface="+mn-cs"/>
          </a:endParaRPr>
        </a:p>
        <a:p>
          <a:pPr marL="228600" lvl="0" indent="-228600">
            <a:buFont typeface="+mj-lt"/>
            <a:buAutoNum type="arabicPeriod"/>
          </a:pPr>
          <a:r>
            <a:rPr lang="en-US" sz="1100">
              <a:solidFill>
                <a:schemeClr val="tx1"/>
              </a:solidFill>
              <a:effectLst/>
              <a:latin typeface="+mn-lt"/>
              <a:ea typeface="+mn-ea"/>
              <a:cs typeface="+mn-cs"/>
            </a:rPr>
            <a:t>IDSA. </a:t>
          </a:r>
          <a:r>
            <a:rPr lang="nb-NO" sz="1100">
              <a:solidFill>
                <a:schemeClr val="tx1"/>
              </a:solidFill>
              <a:effectLst/>
              <a:latin typeface="+mn-lt"/>
              <a:ea typeface="+mn-ea"/>
              <a:cs typeface="+mn-cs"/>
            </a:rPr>
            <a:t>IDSA Guidance on the Treatment of Antimicrobial-Resistant Gram-Negative Infections: Version 1.0 [Internett]. [Publisert 09.08.2020; hentet 12. jan 2022]. Tilgjengelig fra: </a:t>
          </a:r>
          <a:br>
            <a:rPr lang="nb-NO" sz="1100">
              <a:solidFill>
                <a:schemeClr val="tx1"/>
              </a:solidFill>
              <a:effectLst/>
              <a:latin typeface="+mn-lt"/>
              <a:ea typeface="+mn-ea"/>
              <a:cs typeface="+mn-cs"/>
            </a:rPr>
          </a:br>
          <a:r>
            <a:rPr lang="nb-NO" sz="1100" u="sng">
              <a:solidFill>
                <a:schemeClr val="tx1"/>
              </a:solidFill>
              <a:effectLst/>
              <a:latin typeface="+mn-lt"/>
              <a:ea typeface="+mn-ea"/>
              <a:cs typeface="+mn-cs"/>
            </a:rPr>
            <a:t>https://www.idsociety.org/practice-guideline/amr-guidance/</a:t>
          </a:r>
          <a:endParaRPr lang="nb-NO" sz="1100">
            <a:solidFill>
              <a:schemeClr val="tx1"/>
            </a:solidFill>
            <a:effectLst/>
            <a:latin typeface="+mn-lt"/>
            <a:ea typeface="+mn-ea"/>
            <a:cs typeface="+mn-cs"/>
          </a:endParaRPr>
        </a:p>
        <a:p>
          <a:pPr marL="228600" lvl="0" indent="-228600">
            <a:buFont typeface="+mj-lt"/>
            <a:buAutoNum type="arabicPeriod"/>
          </a:pPr>
          <a:r>
            <a:rPr lang="en-US" sz="1100">
              <a:solidFill>
                <a:schemeClr val="tx1"/>
              </a:solidFill>
              <a:effectLst/>
              <a:latin typeface="+mn-lt"/>
              <a:ea typeface="+mn-ea"/>
              <a:cs typeface="+mn-cs"/>
            </a:rPr>
            <a:t>Hsu CY, Ordoñez JD, Chertow GM, Fan D, McCulloch CE, Go AS. The risk of acute renal failure in patients with chronic kidney disease. Kidney Int. </a:t>
          </a:r>
          <a:r>
            <a:rPr lang="nb-NO" sz="1100">
              <a:solidFill>
                <a:schemeClr val="tx1"/>
              </a:solidFill>
              <a:effectLst/>
              <a:latin typeface="+mn-lt"/>
              <a:ea typeface="+mn-ea"/>
              <a:cs typeface="+mn-cs"/>
            </a:rPr>
            <a:t>2008;74(1):101-7. </a:t>
          </a:r>
        </a:p>
        <a:p>
          <a:pPr marL="228600" lvl="0" indent="-228600">
            <a:buFont typeface="+mj-lt"/>
            <a:buAutoNum type="arabicPeriod"/>
          </a:pPr>
          <a:r>
            <a:rPr lang="en-US" sz="1100">
              <a:solidFill>
                <a:schemeClr val="tx1"/>
              </a:solidFill>
              <a:effectLst/>
              <a:latin typeface="+mn-lt"/>
              <a:ea typeface="+mn-ea"/>
              <a:cs typeface="+mn-cs"/>
            </a:rPr>
            <a:t>UpToDate. Overview of the treatment of myasthenia gravis [internet]. </a:t>
          </a:r>
          <a:r>
            <a:rPr lang="nb-NO" sz="1100">
              <a:solidFill>
                <a:schemeClr val="tx1"/>
              </a:solidFill>
              <a:effectLst/>
              <a:latin typeface="+mn-lt"/>
              <a:ea typeface="+mn-ea"/>
              <a:cs typeface="+mn-cs"/>
            </a:rPr>
            <a:t>[Oppdatert 29. mars 2021, hentet ut 12. jan 2022]. Tilgjengelig fra: </a:t>
          </a:r>
          <a:br>
            <a:rPr lang="nb-NO" sz="1100">
              <a:solidFill>
                <a:schemeClr val="tx1"/>
              </a:solidFill>
              <a:effectLst/>
              <a:latin typeface="+mn-lt"/>
              <a:ea typeface="+mn-ea"/>
              <a:cs typeface="+mn-cs"/>
            </a:rPr>
          </a:br>
          <a:r>
            <a:rPr lang="nb-NO" sz="1100" u="sng">
              <a:solidFill>
                <a:schemeClr val="tx1"/>
              </a:solidFill>
              <a:effectLst/>
              <a:latin typeface="+mn-lt"/>
              <a:ea typeface="+mn-ea"/>
              <a:cs typeface="+mn-cs"/>
            </a:rPr>
            <a:t>https://www.uptodate.com/contents/overview-of-the-treatment-of-myasthenia-gravis</a:t>
          </a:r>
          <a:endParaRPr lang="nb-NO" sz="1100">
            <a:solidFill>
              <a:schemeClr val="tx1"/>
            </a:solidFill>
            <a:effectLst/>
            <a:latin typeface="+mn-lt"/>
            <a:ea typeface="+mn-ea"/>
            <a:cs typeface="+mn-cs"/>
          </a:endParaRPr>
        </a:p>
        <a:p>
          <a:pPr marL="228600" lvl="0" indent="-228600">
            <a:buFont typeface="+mj-lt"/>
            <a:buAutoNum type="arabicPeriod"/>
          </a:pPr>
          <a:r>
            <a:rPr lang="nb-NO" sz="1100">
              <a:solidFill>
                <a:schemeClr val="tx1"/>
              </a:solidFill>
              <a:effectLst/>
              <a:latin typeface="+mn-lt"/>
              <a:ea typeface="+mn-ea"/>
              <a:cs typeface="+mn-cs"/>
            </a:rPr>
            <a:t>Therapeutic Guidelines Antibiotic. Nasjonale australske retningslinjer [internett, betalt tilgang]. [Hentet 12. jan 2022]. Tilgjengelig fra: </a:t>
          </a:r>
          <a:br>
            <a:rPr lang="nb-NO" sz="1100">
              <a:solidFill>
                <a:schemeClr val="tx1"/>
              </a:solidFill>
              <a:effectLst/>
              <a:latin typeface="+mn-lt"/>
              <a:ea typeface="+mn-ea"/>
              <a:cs typeface="+mn-cs"/>
            </a:rPr>
          </a:br>
          <a:r>
            <a:rPr lang="nb-NO" sz="1100" u="sng">
              <a:solidFill>
                <a:schemeClr val="tx1"/>
              </a:solidFill>
              <a:effectLst/>
              <a:latin typeface="+mn-lt"/>
              <a:ea typeface="+mn-ea"/>
              <a:cs typeface="+mn-cs"/>
            </a:rPr>
            <a:t>https://www.tg.org.au/</a:t>
          </a:r>
          <a:endParaRPr lang="nb-NO" sz="1100">
            <a:solidFill>
              <a:schemeClr val="tx1"/>
            </a:solidFill>
            <a:effectLst/>
            <a:latin typeface="+mn-lt"/>
            <a:ea typeface="+mn-ea"/>
            <a:cs typeface="+mn-cs"/>
          </a:endParaRPr>
        </a:p>
        <a:p>
          <a:pPr marL="228600" lvl="0" indent="-228600">
            <a:buFont typeface="+mj-lt"/>
            <a:buAutoNum type="arabicPeriod"/>
          </a:pPr>
          <a:r>
            <a:rPr lang="nb-NO" sz="1100">
              <a:solidFill>
                <a:schemeClr val="tx1"/>
              </a:solidFill>
              <a:effectLst/>
              <a:latin typeface="+mn-lt"/>
              <a:ea typeface="+mn-ea"/>
              <a:cs typeface="+mn-cs"/>
            </a:rPr>
            <a:t>Medicin.dk. Aminoglykosider til systemisk brug [internett]. [Oppdatert 16.09.2020; hentet 12 jan 2022]. Tilgjengelig fra:</a:t>
          </a:r>
          <a:br>
            <a:rPr lang="nb-NO" sz="1100">
              <a:solidFill>
                <a:schemeClr val="tx1"/>
              </a:solidFill>
              <a:effectLst/>
              <a:latin typeface="+mn-lt"/>
              <a:ea typeface="+mn-ea"/>
              <a:cs typeface="+mn-cs"/>
            </a:rPr>
          </a:br>
          <a:r>
            <a:rPr lang="nb-NO" sz="1100" u="sng">
              <a:solidFill>
                <a:schemeClr val="tx1"/>
              </a:solidFill>
              <a:effectLst/>
              <a:latin typeface="+mn-lt"/>
              <a:ea typeface="+mn-ea"/>
              <a:cs typeface="+mn-cs"/>
            </a:rPr>
            <a:t>https://pro.medicin.dk/laegemiddelgrupper/grupper/193010</a:t>
          </a:r>
          <a:endParaRPr lang="nb-NO" sz="1100">
            <a:solidFill>
              <a:schemeClr val="tx1"/>
            </a:solidFill>
            <a:effectLst/>
            <a:latin typeface="+mn-lt"/>
            <a:ea typeface="+mn-ea"/>
            <a:cs typeface="+mn-cs"/>
          </a:endParaRPr>
        </a:p>
        <a:p>
          <a:pPr marL="228600" lvl="0" indent="-228600">
            <a:buFont typeface="+mj-lt"/>
            <a:buAutoNum type="arabicPeriod"/>
          </a:pPr>
          <a:r>
            <a:rPr lang="nb-NO" sz="1100">
              <a:solidFill>
                <a:schemeClr val="tx1"/>
              </a:solidFill>
              <a:effectLst/>
              <a:latin typeface="+mn-lt"/>
              <a:ea typeface="+mn-ea"/>
              <a:cs typeface="+mn-cs"/>
            </a:rPr>
            <a:t>Waagsbø B, Spigset O. Forordning, admininistrering og monitorering av gentamicin/tobramycin hos voksne. Trondheim: St. Olavs Hosptial. [Publisert 27.09.2021]. Tilsendt på E-post fra Waagsbø B 07.des 2021.</a:t>
          </a:r>
        </a:p>
        <a:p>
          <a:pPr marL="228600" lvl="0" indent="-228600">
            <a:buFont typeface="+mj-lt"/>
            <a:buAutoNum type="arabicPeriod"/>
          </a:pPr>
          <a:r>
            <a:rPr lang="nb-NO" sz="1100">
              <a:solidFill>
                <a:schemeClr val="tx1"/>
              </a:solidFill>
              <a:effectLst/>
              <a:latin typeface="+mn-lt"/>
              <a:ea typeface="+mn-ea"/>
              <a:cs typeface="+mn-cs"/>
            </a:rPr>
            <a:t>Stenstad T, Finne SN. Aminoglykosider – intravenøs behandling. Vestfold: Sykehuset i Vestfold. [Oppdatert 08.09.2021]. </a:t>
          </a:r>
          <a:br>
            <a:rPr lang="nb-NO" sz="1100">
              <a:solidFill>
                <a:schemeClr val="tx1"/>
              </a:solidFill>
              <a:effectLst/>
              <a:latin typeface="+mn-lt"/>
              <a:ea typeface="+mn-ea"/>
              <a:cs typeface="+mn-cs"/>
            </a:rPr>
          </a:br>
          <a:r>
            <a:rPr lang="nb-NO" sz="1100">
              <a:solidFill>
                <a:schemeClr val="tx1"/>
              </a:solidFill>
              <a:effectLst/>
              <a:latin typeface="+mn-lt"/>
              <a:ea typeface="+mn-ea"/>
              <a:cs typeface="+mn-cs"/>
            </a:rPr>
            <a:t>Tilsendt på e-post fra Stenstad T 26. okt 2021</a:t>
          </a:r>
        </a:p>
        <a:p>
          <a:pPr marL="228600" lvl="0" indent="-228600">
            <a:buFont typeface="+mj-lt"/>
            <a:buAutoNum type="arabicPeriod"/>
          </a:pPr>
          <a:r>
            <a:rPr lang="en-US" sz="1100">
              <a:solidFill>
                <a:schemeClr val="tx1"/>
              </a:solidFill>
              <a:effectLst/>
              <a:latin typeface="+mn-lt"/>
              <a:ea typeface="+mn-ea"/>
              <a:cs typeface="+mn-cs"/>
            </a:rPr>
            <a:t>Oliveira JFP et al. Prevalence and Risk Factors for Aminoglycoside Nephrotoxicity in Intensive Care Units. </a:t>
          </a:r>
          <a:r>
            <a:rPr lang="nb-NO" sz="1100">
              <a:solidFill>
                <a:schemeClr val="tx1"/>
              </a:solidFill>
              <a:effectLst/>
              <a:latin typeface="+mn-lt"/>
              <a:ea typeface="+mn-ea"/>
              <a:cs typeface="+mn-cs"/>
            </a:rPr>
            <a:t>Antimicrob. Agentes Chemother. 2009, p. 2887-2891.</a:t>
          </a:r>
        </a:p>
        <a:p>
          <a:pPr marL="228600" lvl="0" indent="-228600">
            <a:buFont typeface="+mj-lt"/>
            <a:buAutoNum type="arabicPeriod"/>
          </a:pPr>
          <a:r>
            <a:rPr lang="en-US" sz="1100">
              <a:solidFill>
                <a:schemeClr val="tx1"/>
              </a:solidFill>
              <a:effectLst/>
              <a:latin typeface="+mn-lt"/>
              <a:ea typeface="+mn-ea"/>
              <a:cs typeface="+mn-cs"/>
            </a:rPr>
            <a:t>Sojo-Dorado J, Rodríguez-Baño J. Gentamicin. </a:t>
          </a:r>
          <a:r>
            <a:rPr lang="nb-NO" sz="1100">
              <a:solidFill>
                <a:schemeClr val="tx1"/>
              </a:solidFill>
              <a:effectLst/>
              <a:latin typeface="+mn-lt"/>
              <a:ea typeface="+mn-ea"/>
              <a:cs typeface="+mn-cs"/>
            </a:rPr>
            <a:t>I: Grayson LM. et al. </a:t>
          </a:r>
          <a:r>
            <a:rPr lang="en-US" sz="1100">
              <a:solidFill>
                <a:schemeClr val="tx1"/>
              </a:solidFill>
              <a:effectLst/>
              <a:latin typeface="+mn-lt"/>
              <a:ea typeface="+mn-ea"/>
              <a:cs typeface="+mn-cs"/>
            </a:rPr>
            <a:t>Kucers’ The use of Antibiotics. A Clinical Review of Antibacterial, Antifungal, Antiparasitic and Antiviral drugs, volume 1. </a:t>
          </a:r>
          <a:r>
            <a:rPr lang="nb-NO" sz="1100">
              <a:solidFill>
                <a:schemeClr val="tx1"/>
              </a:solidFill>
              <a:effectLst/>
              <a:latin typeface="+mn-lt"/>
              <a:ea typeface="+mn-ea"/>
              <a:cs typeface="+mn-cs"/>
            </a:rPr>
            <a:t>7</a:t>
          </a:r>
          <a:r>
            <a:rPr lang="nb-NO" sz="1100" baseline="30000">
              <a:solidFill>
                <a:schemeClr val="tx1"/>
              </a:solidFill>
              <a:effectLst/>
              <a:latin typeface="+mn-lt"/>
              <a:ea typeface="+mn-ea"/>
              <a:cs typeface="+mn-cs"/>
            </a:rPr>
            <a:t>th</a:t>
          </a:r>
          <a:r>
            <a:rPr lang="nb-NO" sz="1100">
              <a:solidFill>
                <a:schemeClr val="tx1"/>
              </a:solidFill>
              <a:effectLst/>
              <a:latin typeface="+mn-lt"/>
              <a:ea typeface="+mn-ea"/>
              <a:cs typeface="+mn-cs"/>
            </a:rPr>
            <a:t> Edition. Boca Raton. CRC Press; 2017. s. 964-991</a:t>
          </a:r>
        </a:p>
        <a:p>
          <a:pPr marL="228600" lvl="0" indent="-228600">
            <a:buFont typeface="+mj-lt"/>
            <a:buAutoNum type="arabicPeriod"/>
          </a:pPr>
          <a:r>
            <a:rPr lang="en-US" sz="1100">
              <a:solidFill>
                <a:schemeClr val="tx1"/>
              </a:solidFill>
              <a:effectLst/>
              <a:latin typeface="+mn-lt"/>
              <a:ea typeface="+mn-ea"/>
              <a:cs typeface="+mn-cs"/>
            </a:rPr>
            <a:t>UpToDate. Pathogenesis and prevention of aminoglycoside nephrotoxicity and ototoxicity. </a:t>
          </a:r>
          <a:r>
            <a:rPr lang="nb-NO" sz="1100">
              <a:solidFill>
                <a:schemeClr val="tx1"/>
              </a:solidFill>
              <a:effectLst/>
              <a:latin typeface="+mn-lt"/>
              <a:ea typeface="+mn-ea"/>
              <a:cs typeface="+mn-cs"/>
            </a:rPr>
            <a:t>[Oppdatert 05. nov. 2021., hentet ut 14. jan 2022]. Tilgjengelig fra:</a:t>
          </a:r>
          <a:br>
            <a:rPr lang="nb-NO" sz="1100">
              <a:solidFill>
                <a:schemeClr val="tx1"/>
              </a:solidFill>
              <a:effectLst/>
              <a:latin typeface="+mn-lt"/>
              <a:ea typeface="+mn-ea"/>
              <a:cs typeface="+mn-cs"/>
            </a:rPr>
          </a:br>
          <a:r>
            <a:rPr lang="nb-NO" sz="1100" u="sng">
              <a:solidFill>
                <a:schemeClr val="tx1"/>
              </a:solidFill>
              <a:effectLst/>
              <a:latin typeface="+mn-lt"/>
              <a:ea typeface="+mn-ea"/>
              <a:cs typeface="+mn-cs"/>
            </a:rPr>
            <a:t>https://www.uptodate.com/contents/pathogenesis-and-prevention-of-aminoglycoside-nephrotoxicity-and-ototoxicity?sectionName=OTOTOXICITY&amp;search=aminoglycoside%20ototoxicity&amp;topicRef=483&amp;anchor=H8&amp;source=see_link#H8</a:t>
          </a:r>
          <a:endParaRPr lang="nb-NO" sz="1100">
            <a:solidFill>
              <a:schemeClr val="tx1"/>
            </a:solidFill>
            <a:effectLst/>
            <a:latin typeface="+mn-lt"/>
            <a:ea typeface="+mn-ea"/>
            <a:cs typeface="+mn-cs"/>
          </a:endParaRPr>
        </a:p>
        <a:p>
          <a:pPr marL="228600" lvl="0" indent="-228600">
            <a:buFont typeface="+mj-lt"/>
            <a:buAutoNum type="arabicPeriod"/>
          </a:pPr>
          <a:r>
            <a:rPr lang="nb-NO" sz="1100">
              <a:solidFill>
                <a:schemeClr val="tx1"/>
              </a:solidFill>
              <a:effectLst/>
              <a:latin typeface="+mn-lt"/>
              <a:ea typeface="+mn-ea"/>
              <a:cs typeface="+mn-cs"/>
            </a:rPr>
            <a:t>Legget JE. Aminoglycosides. I: Bennet JE. </a:t>
          </a:r>
          <a:r>
            <a:rPr lang="en-US" sz="1100">
              <a:solidFill>
                <a:schemeClr val="tx1"/>
              </a:solidFill>
              <a:effectLst/>
              <a:latin typeface="+mn-lt"/>
              <a:ea typeface="+mn-ea"/>
              <a:cs typeface="+mn-cs"/>
            </a:rPr>
            <a:t>Mandell, Douglas, and Bennet`s Principles and Practice of Infectious Diseases.[internet] 9. utgave. </a:t>
          </a:r>
          <a:r>
            <a:rPr lang="nb-NO" sz="1100">
              <a:solidFill>
                <a:schemeClr val="tx1"/>
              </a:solidFill>
              <a:effectLst/>
              <a:latin typeface="+mn-lt"/>
              <a:ea typeface="+mn-ea"/>
              <a:cs typeface="+mn-cs"/>
            </a:rPr>
            <a:t>Elsevier Inc. 2020. [Hentet ut 14.01.2022] s. 305-317.e7. Tilgjengelig fra:</a:t>
          </a:r>
          <a:r>
            <a:rPr lang="nb-NO" sz="1100" baseline="0">
              <a:solidFill>
                <a:schemeClr val="tx1"/>
              </a:solidFill>
              <a:effectLst/>
              <a:latin typeface="+mn-lt"/>
              <a:ea typeface="+mn-ea"/>
              <a:cs typeface="+mn-cs"/>
            </a:rPr>
            <a:t> </a:t>
          </a:r>
          <a:r>
            <a:rPr lang="nb-NO" sz="1100" u="sng">
              <a:solidFill>
                <a:schemeClr val="tx1"/>
              </a:solidFill>
              <a:effectLst/>
              <a:latin typeface="+mn-lt"/>
              <a:ea typeface="+mn-ea"/>
              <a:cs typeface="+mn-cs"/>
            </a:rPr>
            <a:t>https://www.sciencedirect.com/science/article/abs/pii/000293439090082O?via%3Dihub</a:t>
          </a:r>
          <a:endParaRPr lang="nb-NO" sz="1100">
            <a:solidFill>
              <a:schemeClr val="tx1"/>
            </a:solidFill>
            <a:effectLst/>
            <a:latin typeface="+mn-lt"/>
            <a:ea typeface="+mn-ea"/>
            <a:cs typeface="+mn-cs"/>
          </a:endParaRPr>
        </a:p>
        <a:p>
          <a:pPr marL="228600" lvl="0" indent="-228600">
            <a:buFont typeface="+mj-lt"/>
            <a:buAutoNum type="arabicPeriod"/>
          </a:pPr>
          <a:r>
            <a:rPr lang="en-US" sz="1100">
              <a:solidFill>
                <a:schemeClr val="tx1"/>
              </a:solidFill>
              <a:effectLst/>
              <a:latin typeface="+mn-lt"/>
              <a:ea typeface="+mn-ea"/>
              <a:cs typeface="+mn-cs"/>
            </a:rPr>
            <a:t>Stanford Antimicorbial Safety &amp; Sustainability Program. Stanford Health Care Amnioglycoside Dosing Guideline. [Hentet 14. jan 2022]. </a:t>
          </a:r>
          <a:endParaRPr lang="nb-NO" sz="1100">
            <a:solidFill>
              <a:schemeClr val="tx1"/>
            </a:solidFill>
            <a:effectLst/>
            <a:latin typeface="+mn-lt"/>
            <a:ea typeface="+mn-ea"/>
            <a:cs typeface="+mn-cs"/>
          </a:endParaRPr>
        </a:p>
        <a:p>
          <a:pPr marL="228600" lvl="0" indent="-228600">
            <a:buFont typeface="+mj-lt"/>
            <a:buAutoNum type="arabicPeriod"/>
          </a:pPr>
          <a:r>
            <a:rPr lang="nb-NO" sz="1100">
              <a:solidFill>
                <a:schemeClr val="tx1"/>
              </a:solidFill>
              <a:effectLst/>
              <a:latin typeface="+mn-lt"/>
              <a:ea typeface="+mn-ea"/>
              <a:cs typeface="+mn-cs"/>
            </a:rPr>
            <a:t>Skogstrøm V. Aminocalc. Arendal. Sørlandet Sykehus Arendal. [Hentet ut den 18.01.2022] Tilgjengelig på EK-web (lokalt nettverk SSHF). </a:t>
          </a:r>
        </a:p>
        <a:p>
          <a:pPr marL="228600" lvl="0" indent="-228600">
            <a:buFont typeface="+mj-lt"/>
            <a:buAutoNum type="arabicPeriod"/>
          </a:pPr>
          <a:r>
            <a:rPr lang="nb-NO" sz="1100">
              <a:solidFill>
                <a:schemeClr val="tx1"/>
              </a:solidFill>
              <a:effectLst/>
              <a:latin typeface="+mn-lt"/>
              <a:ea typeface="+mn-ea"/>
              <a:cs typeface="+mn-cs"/>
            </a:rPr>
            <a:t>Personlig meddelelse fra klinisk farmakolog Olav Spigset NTNU per e-post den 01.10.2012. </a:t>
          </a:r>
        </a:p>
        <a:p>
          <a:pPr marL="228600" lvl="0" indent="-228600">
            <a:buFont typeface="+mj-lt"/>
            <a:buAutoNum type="arabicPeriod"/>
          </a:pPr>
          <a:r>
            <a:rPr lang="en-US" sz="1100">
              <a:solidFill>
                <a:schemeClr val="tx1"/>
              </a:solidFill>
              <a:effectLst/>
              <a:latin typeface="+mn-lt"/>
              <a:ea typeface="+mn-ea"/>
              <a:cs typeface="+mn-cs"/>
            </a:rPr>
            <a:t>Lopez-Nouva JM, Quiros Y, Vicente L, Morales AI, Lopez-Hernandez FJ. New insight into the mechanism of aminoglycoside nephrotoxicity: an integrative point of view. </a:t>
          </a:r>
          <a:r>
            <a:rPr lang="nb-NO" sz="1100">
              <a:solidFill>
                <a:schemeClr val="tx1"/>
              </a:solidFill>
              <a:effectLst/>
              <a:latin typeface="+mn-lt"/>
              <a:ea typeface="+mn-ea"/>
              <a:cs typeface="+mn-cs"/>
            </a:rPr>
            <a:t>Kidney international. 2011. 79, 33-45. </a:t>
          </a:r>
        </a:p>
        <a:p>
          <a:endParaRPr lang="nb-NO" sz="1100" b="1" u="sng"/>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25399</xdr:colOff>
      <xdr:row>0</xdr:row>
      <xdr:rowOff>41728</xdr:rowOff>
    </xdr:from>
    <xdr:to>
      <xdr:col>19</xdr:col>
      <xdr:colOff>749300</xdr:colOff>
      <xdr:row>44</xdr:row>
      <xdr:rowOff>25400</xdr:rowOff>
    </xdr:to>
    <xdr:sp macro="" textlink="">
      <xdr:nvSpPr>
        <xdr:cNvPr id="2" name="TekstSylinder 1">
          <a:extLst>
            <a:ext uri="{FF2B5EF4-FFF2-40B4-BE49-F238E27FC236}">
              <a16:creationId xmlns:a16="http://schemas.microsoft.com/office/drawing/2014/main" id="{0DADEA17-09C0-47E7-83E6-3B1D096014A2}"/>
            </a:ext>
          </a:extLst>
        </xdr:cNvPr>
        <xdr:cNvSpPr txBox="1"/>
      </xdr:nvSpPr>
      <xdr:spPr>
        <a:xfrm>
          <a:off x="28575" y="38100"/>
          <a:ext cx="15201900" cy="7943850"/>
        </a:xfrm>
        <a:prstGeom prst="rect">
          <a:avLst/>
        </a:prstGeom>
        <a:solidFill>
          <a:schemeClr val="accent2">
            <a:lumMod val="20000"/>
            <a:lumOff val="80000"/>
          </a:schemeClr>
        </a:solidFill>
        <a:ln w="38100" cmpd="sng">
          <a:solidFill>
            <a:schemeClr val="tx1"/>
          </a:solid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r>
            <a:rPr lang="nb-NO" sz="1100" b="1" u="sng">
              <a:solidFill>
                <a:schemeClr val="tx1"/>
              </a:solidFill>
            </a:rPr>
            <a:t>Formel;</a:t>
          </a:r>
          <a:r>
            <a:rPr lang="nb-NO" sz="1100" b="1" u="none">
              <a:solidFill>
                <a:schemeClr val="tx1"/>
              </a:solidFill>
            </a:rPr>
            <a:t>						Kilde:</a:t>
          </a:r>
          <a:endParaRPr lang="nb-NO" sz="1100" b="1" u="sng"/>
        </a:p>
        <a:p>
          <a:r>
            <a:rPr lang="nb-NO" sz="1100" b="1" u="sng">
              <a:solidFill>
                <a:schemeClr val="tx1"/>
              </a:solidFill>
            </a:rPr>
            <a:t>BMI:</a:t>
          </a:r>
          <a:r>
            <a:rPr lang="nb-NO" sz="1100" b="1" u="none" baseline="0">
              <a:solidFill>
                <a:schemeClr val="tx1"/>
              </a:solidFill>
            </a:rPr>
            <a:t> Vekt / (Høyde^2)						</a:t>
          </a:r>
        </a:p>
        <a:p>
          <a:r>
            <a:rPr lang="nb-NO" sz="1100" b="1" u="sng" baseline="0">
              <a:solidFill>
                <a:schemeClr val="tx1"/>
              </a:solidFill>
            </a:rPr>
            <a:t>Ideal body weight i kg(IBW)</a:t>
          </a:r>
          <a:r>
            <a:rPr lang="nb-NO" sz="1100" b="1" u="none" baseline="0">
              <a:solidFill>
                <a:schemeClr val="tx1"/>
              </a:solidFill>
            </a:rPr>
            <a:t> 					Therapeutic Guidelines (australske retningslinjer) og UptoDate </a:t>
          </a:r>
          <a:endParaRPr lang="nb-NO" sz="1100" b="1" u="sng" baseline="0"/>
        </a:p>
        <a:p>
          <a:r>
            <a:rPr lang="nb-NO" sz="1100" b="1" u="none" baseline="0">
              <a:solidFill>
                <a:schemeClr val="tx1"/>
              </a:solidFill>
            </a:rPr>
            <a:t>Menn: 50kg + ( 0,9 kg per cm over 152 cm)</a:t>
          </a:r>
        </a:p>
        <a:p>
          <a:r>
            <a:rPr lang="nb-NO" sz="1100" b="1" u="none" baseline="0">
              <a:solidFill>
                <a:schemeClr val="tx1"/>
              </a:solidFill>
            </a:rPr>
            <a:t>Kvinner: 45,5 + (0,9 kg per cm over 152 cm)</a:t>
          </a:r>
          <a:endParaRPr lang="nb-NO" sz="1100" b="1" u="sng" baseline="0"/>
        </a:p>
        <a:p>
          <a:r>
            <a:rPr lang="nb-NO">
              <a:solidFill>
                <a:schemeClr val="tx1"/>
              </a:solidFill>
            </a:rPr>
            <a:t>	 </a:t>
          </a:r>
          <a:endParaRPr lang="nb-NO" sz="1100" b="1" u="none" baseline="0"/>
        </a:p>
        <a:p>
          <a:pPr marL="0" marR="0" lvl="0" indent="0" defTabSz="914400" rtl="0" eaLnBrk="1" fontAlgn="auto" latinLnBrk="0" hangingPunct="1">
            <a:lnSpc>
              <a:spcPct val="100000"/>
            </a:lnSpc>
            <a:spcBef>
              <a:spcPts val="0"/>
            </a:spcBef>
            <a:spcAft>
              <a:spcPts val="0"/>
            </a:spcAft>
            <a:buClrTx/>
            <a:buSzTx/>
            <a:buFontTx/>
            <a:buNone/>
          </a:pPr>
          <a:r>
            <a:rPr lang="nb-NO" sz="1100" b="1" u="sng" baseline="0">
              <a:solidFill>
                <a:schemeClr val="tx1"/>
              </a:solidFill>
            </a:rPr>
            <a:t>Adjustede body weight (ABW):</a:t>
          </a:r>
          <a:r>
            <a:rPr lang="nb-NO" sz="1100" b="1" u="none" baseline="0">
              <a:solidFill>
                <a:schemeClr val="tx1"/>
              </a:solidFill>
            </a:rPr>
            <a:t>  IBW + 0,4 * ( Kroppsvekt - IBW)		</a:t>
          </a:r>
          <a:r>
            <a:rPr lang="nb-NO" sz="1100" b="1" u="none" baseline="0">
              <a:solidFill>
                <a:schemeClr val="tx1"/>
              </a:solidFill>
              <a:effectLst/>
              <a:latin typeface="+mn-lt"/>
              <a:ea typeface="+mn-ea"/>
              <a:cs typeface="+mn-cs"/>
            </a:rPr>
            <a:t>Brukt formel benyttet av</a:t>
          </a:r>
          <a:r>
            <a:rPr lang="nb-NO" sz="1100" b="1" baseline="0">
              <a:solidFill>
                <a:schemeClr val="tx1"/>
              </a:solidFill>
              <a:effectLst/>
              <a:latin typeface="+mn-lt"/>
              <a:ea typeface="+mn-ea"/>
              <a:cs typeface="+mn-cs"/>
            </a:rPr>
            <a:t> Therapeutic Guidelines (</a:t>
          </a:r>
          <a:r>
            <a:rPr lang="nb-NO" sz="1100" b="0" baseline="0">
              <a:solidFill>
                <a:schemeClr val="tx1"/>
              </a:solidFill>
              <a:effectLst/>
              <a:latin typeface="+mn-lt"/>
              <a:ea typeface="+mn-ea"/>
              <a:cs typeface="+mn-cs"/>
            </a:rPr>
            <a:t>Australske retningslinjer) </a:t>
          </a:r>
          <a:r>
            <a:rPr lang="nb-NO" sz="1100" b="1" baseline="0">
              <a:solidFill>
                <a:schemeClr val="tx1"/>
              </a:solidFill>
              <a:effectLst/>
              <a:latin typeface="+mn-lt"/>
              <a:ea typeface="+mn-ea"/>
              <a:cs typeface="+mn-cs"/>
            </a:rPr>
            <a:t>og UpToDate: </a:t>
          </a:r>
          <a:r>
            <a:rPr lang="nb-NO" sz="1100" b="1" i="0" u="none" baseline="0">
              <a:solidFill>
                <a:schemeClr val="tx1"/>
              </a:solidFill>
              <a:latin typeface="+mn-lt"/>
              <a:ea typeface="+mn-ea"/>
              <a:cs typeface="+mn-cs"/>
            </a:rPr>
            <a:t>					</a:t>
          </a:r>
        </a:p>
        <a:p>
          <a:pPr marL="0" marR="0" lvl="0" indent="0" defTabSz="914400" rtl="0" eaLnBrk="1" fontAlgn="auto" latinLnBrk="0" hangingPunct="1">
            <a:lnSpc>
              <a:spcPct val="100000"/>
            </a:lnSpc>
            <a:spcBef>
              <a:spcPts val="0"/>
            </a:spcBef>
            <a:spcAft>
              <a:spcPts val="0"/>
            </a:spcAft>
            <a:buClrTx/>
            <a:buSzTx/>
            <a:buFontTx/>
            <a:buNone/>
          </a:pPr>
          <a:r>
            <a:rPr lang="nb-NO" sz="1100" b="1" i="0" u="none" baseline="0">
              <a:solidFill>
                <a:schemeClr val="tx1"/>
              </a:solidFill>
              <a:latin typeface="+mn-lt"/>
              <a:ea typeface="+mn-ea"/>
              <a:cs typeface="+mn-cs"/>
            </a:rPr>
            <a:t>						</a:t>
          </a:r>
          <a:r>
            <a:rPr lang="nb-NO" sz="1100" b="0" i="0" u="none" baseline="0">
              <a:solidFill>
                <a:schemeClr val="tx1"/>
              </a:solidFill>
              <a:latin typeface="+mn-lt"/>
              <a:ea typeface="+mn-ea"/>
              <a:cs typeface="+mn-cs"/>
            </a:rPr>
            <a:t>Hvor adjustede body weight (ABW) er brukt for dosering av Gentamicin på pasienter hvor målt vekt er større enn IBW x 1,25. Altså der vekt er mer enn 125% av IBW.</a:t>
          </a:r>
        </a:p>
        <a:p>
          <a:pPr marL="0" marR="0" lvl="0" indent="0" defTabSz="914400" rtl="0" eaLnBrk="1" fontAlgn="auto" latinLnBrk="0" hangingPunct="1">
            <a:lnSpc>
              <a:spcPct val="100000"/>
            </a:lnSpc>
            <a:spcBef>
              <a:spcPts val="0"/>
            </a:spcBef>
            <a:spcAft>
              <a:spcPts val="0"/>
            </a:spcAft>
            <a:buClrTx/>
            <a:buSzTx/>
            <a:buFontTx/>
            <a:buNone/>
          </a:pPr>
          <a:r>
            <a:rPr lang="nb-NO" sz="1100" b="0" i="0" u="none" baseline="0">
              <a:solidFill>
                <a:schemeClr val="tx1"/>
              </a:solidFill>
              <a:latin typeface="+mn-lt"/>
              <a:ea typeface="+mn-ea"/>
              <a:cs typeface="+mn-cs"/>
            </a:rPr>
            <a:t>						For pasienter med vekt mindre 125% av IBW brukes målt kroppsvekt. </a:t>
          </a:r>
        </a:p>
        <a:p>
          <a:pPr marL="0" marR="0" lvl="0" indent="0" defTabSz="914400" rtl="0" eaLnBrk="1" fontAlgn="auto" latinLnBrk="0" hangingPunct="1">
            <a:lnSpc>
              <a:spcPct val="100000"/>
            </a:lnSpc>
            <a:spcBef>
              <a:spcPts val="0"/>
            </a:spcBef>
            <a:spcAft>
              <a:spcPts val="0"/>
            </a:spcAft>
            <a:buClrTx/>
            <a:buSzTx/>
            <a:buFontTx/>
            <a:buNone/>
          </a:pPr>
          <a:endParaRPr lang="nb-NO" sz="1100" b="0" i="0" u="none" baseline="0">
            <a:solidFill>
              <a:schemeClr val="tx1"/>
            </a:solidFill>
            <a:latin typeface="+mn-lt"/>
            <a:ea typeface="+mn-ea"/>
            <a:cs typeface="+mn-cs"/>
          </a:endParaRPr>
        </a:p>
        <a:p>
          <a:pPr rtl="0"/>
          <a:r>
            <a:rPr lang="nb-NO" sz="1100" b="1" i="0" u="none" baseline="0">
              <a:solidFill>
                <a:schemeClr val="tx1"/>
              </a:solidFill>
              <a:latin typeface="+mn-lt"/>
              <a:ea typeface="+mn-ea"/>
              <a:cs typeface="+mn-cs"/>
            </a:rPr>
            <a:t>Beregnet GFR med Cockcroft-Gault linkning;				</a:t>
          </a:r>
          <a:r>
            <a:rPr lang="nb-NO" sz="1100" b="1" baseline="0">
              <a:solidFill>
                <a:schemeClr val="tx1"/>
              </a:solidFill>
              <a:effectLst/>
              <a:latin typeface="+mn-lt"/>
              <a:ea typeface="+mn-ea"/>
              <a:cs typeface="+mn-cs"/>
            </a:rPr>
            <a:t>Brukt formel benyttet av Therapeutic Guidelines: </a:t>
          </a:r>
          <a:r>
            <a:rPr lang="nb-NO" sz="1100" b="0" baseline="0">
              <a:solidFill>
                <a:schemeClr val="tx1"/>
              </a:solidFill>
              <a:effectLst/>
              <a:latin typeface="+mn-lt"/>
              <a:ea typeface="+mn-ea"/>
              <a:cs typeface="+mn-cs"/>
            </a:rPr>
            <a:t>Australske retningslinjer</a:t>
          </a:r>
          <a:endParaRPr lang="nb-NO" sz="1100" b="1" i="0" u="none" baseline="0">
            <a:solidFill>
              <a:schemeClr val="tx1"/>
            </a:solidFill>
            <a:latin typeface="+mn-lt"/>
            <a:ea typeface="+mn-ea"/>
            <a:cs typeface="+mn-cs"/>
          </a:endParaRPr>
        </a:p>
        <a:p>
          <a:pPr marL="0" marR="0" lvl="0" indent="0" defTabSz="914400" rtl="0" eaLnBrk="1" fontAlgn="auto" latinLnBrk="0" hangingPunct="1">
            <a:lnSpc>
              <a:spcPct val="100000"/>
            </a:lnSpc>
            <a:spcBef>
              <a:spcPts val="0"/>
            </a:spcBef>
            <a:spcAft>
              <a:spcPts val="0"/>
            </a:spcAft>
            <a:buClrTx/>
            <a:buSzTx/>
            <a:buFontTx/>
            <a:buNone/>
          </a:pPr>
          <a:r>
            <a:rPr lang="nb-NO" sz="1100" b="1" i="0" u="none" baseline="0">
              <a:solidFill>
                <a:schemeClr val="tx1"/>
              </a:solidFill>
              <a:latin typeface="+mn-lt"/>
              <a:ea typeface="+mn-ea"/>
              <a:cs typeface="+mn-cs"/>
            </a:rPr>
            <a:t>Menn: CrCl (ml/min) = ((140 - alder) x vekt i kg ) / (S-Kreatinin (µmol/L) x 0,814) 	</a:t>
          </a:r>
          <a:r>
            <a:rPr lang="nb-NO" sz="1100" b="0" i="0" baseline="0">
              <a:solidFill>
                <a:schemeClr val="tx1"/>
              </a:solidFill>
              <a:effectLst/>
              <a:latin typeface="+mn-lt"/>
              <a:ea typeface="+mn-ea"/>
              <a:cs typeface="+mn-cs"/>
            </a:rPr>
            <a:t>Hvor Adjusted body weight (ABW) brukes i formelen der pasienter har BMI over 30. </a:t>
          </a:r>
        </a:p>
        <a:p>
          <a:pPr marL="0" marR="0" lvl="0" indent="0" defTabSz="914400" rtl="0" eaLnBrk="1" fontAlgn="auto" latinLnBrk="0" hangingPunct="1">
            <a:lnSpc>
              <a:spcPct val="100000"/>
            </a:lnSpc>
            <a:spcBef>
              <a:spcPts val="0"/>
            </a:spcBef>
            <a:spcAft>
              <a:spcPts val="0"/>
            </a:spcAft>
            <a:buClrTx/>
            <a:buSzTx/>
            <a:buFontTx/>
            <a:buNone/>
          </a:pPr>
          <a:r>
            <a:rPr lang="nb-NO" sz="1100" b="1" i="0" u="none" baseline="0">
              <a:solidFill>
                <a:schemeClr val="tx1"/>
              </a:solidFill>
              <a:latin typeface="+mn-lt"/>
              <a:ea typeface="+mn-ea"/>
              <a:cs typeface="+mn-cs"/>
            </a:rPr>
            <a:t>Kvinner:  </a:t>
          </a:r>
          <a:r>
            <a:rPr lang="nb-NO" sz="1100" b="1" i="0" baseline="0">
              <a:solidFill>
                <a:schemeClr val="tx1"/>
              </a:solidFill>
              <a:effectLst/>
              <a:latin typeface="+mn-lt"/>
              <a:ea typeface="+mn-ea"/>
              <a:cs typeface="+mn-cs"/>
            </a:rPr>
            <a:t>CrCl (ml/min) = ((140 - alder) x vekt i kg ) / (S-Kreatinin (µmol/L) x 0,814)  x 0,85	</a:t>
          </a:r>
          <a:r>
            <a:rPr lang="nb-NO" sz="1100" b="0" i="0" baseline="0">
              <a:solidFill>
                <a:schemeClr val="tx1"/>
              </a:solidFill>
              <a:effectLst/>
              <a:latin typeface="+mn-lt"/>
              <a:ea typeface="+mn-ea"/>
              <a:cs typeface="+mn-cs"/>
            </a:rPr>
            <a:t>Ved BMI under 30 benyttes målt kroppsvekt</a:t>
          </a:r>
          <a:endParaRPr lang="nb-NO" sz="1100" b="0" i="0" u="none" baseline="0">
            <a:solidFill>
              <a:schemeClr val="tx1"/>
            </a:solidFill>
            <a:latin typeface="+mn-lt"/>
            <a:ea typeface="+mn-ea"/>
            <a:cs typeface="+mn-cs"/>
          </a:endParaRPr>
        </a:p>
        <a:p>
          <a:pPr rtl="0"/>
          <a:endParaRPr lang="nb-NO" sz="1100" b="1" i="0" u="none" baseline="0">
            <a:solidFill>
              <a:schemeClr val="tx1"/>
            </a:solidFill>
            <a:latin typeface="+mn-lt"/>
            <a:ea typeface="+mn-ea"/>
            <a:cs typeface="+mn-cs"/>
          </a:endParaRPr>
        </a:p>
        <a:p>
          <a:pPr rtl="0"/>
          <a:r>
            <a:rPr lang="nb-NO" sz="1100" b="1" i="0" u="none" baseline="0">
              <a:solidFill>
                <a:schemeClr val="tx1"/>
              </a:solidFill>
              <a:latin typeface="+mn-lt"/>
              <a:ea typeface="+mn-ea"/>
              <a:cs typeface="+mn-cs"/>
            </a:rPr>
            <a:t>Regler/rammeverk:</a:t>
          </a:r>
        </a:p>
        <a:p>
          <a:pPr rtl="0"/>
          <a:r>
            <a:rPr lang="nb-NO" sz="1100" b="0" i="0" u="none" baseline="0">
              <a:solidFill>
                <a:schemeClr val="tx1"/>
              </a:solidFill>
              <a:latin typeface="+mn-lt"/>
              <a:ea typeface="+mn-ea"/>
              <a:cs typeface="+mn-cs"/>
            </a:rPr>
            <a:t>- Ved kreatinin under 60 rundes det opp til 60, med varselsboks om at det gjøres</a:t>
          </a:r>
        </a:p>
        <a:p>
          <a:pPr rtl="0"/>
          <a:r>
            <a:rPr lang="nb-NO" sz="1100" b="0" i="0" u="none" baseline="0">
              <a:solidFill>
                <a:schemeClr val="tx1"/>
              </a:solidFill>
              <a:latin typeface="+mn-lt"/>
              <a:ea typeface="+mn-ea"/>
              <a:cs typeface="+mn-cs"/>
            </a:rPr>
            <a:t>- Ved Gentamicindoser over 600 mg rundes det ned til 600 mg, med varselsboks om at dette gjøres. </a:t>
          </a:r>
        </a:p>
        <a:p>
          <a:pPr rtl="0"/>
          <a:r>
            <a:rPr lang="nb-NO" sz="1100" b="0" i="0" u="none" baseline="0">
              <a:solidFill>
                <a:schemeClr val="tx1"/>
              </a:solidFill>
              <a:latin typeface="+mn-lt"/>
              <a:ea typeface="+mn-ea"/>
              <a:cs typeface="+mn-cs"/>
            </a:rPr>
            <a:t>- Justering av størrelse på dose 2 ved GFR over 60.:  </a:t>
          </a:r>
        </a:p>
        <a:p>
          <a:pPr rtl="0"/>
          <a:r>
            <a:rPr lang="nb-NO" sz="1100" b="0" i="0" u="none" baseline="0">
              <a:solidFill>
                <a:schemeClr val="tx1"/>
              </a:solidFill>
              <a:latin typeface="+mn-lt"/>
              <a:ea typeface="+mn-ea"/>
              <a:cs typeface="+mn-cs"/>
            </a:rPr>
            <a:t>	Dersom dose 2 skal gis 21-24 timer etter 1.dose : Gis full dose (100%)</a:t>
          </a:r>
        </a:p>
        <a:p>
          <a:pPr rtl="0"/>
          <a:r>
            <a:rPr lang="nb-NO" sz="1100" b="0" i="0" u="none" baseline="0">
              <a:solidFill>
                <a:schemeClr val="tx1"/>
              </a:solidFill>
              <a:latin typeface="+mn-lt"/>
              <a:ea typeface="+mn-ea"/>
              <a:cs typeface="+mn-cs"/>
            </a:rPr>
            <a:t>	Dersom dose 2 gis mellom 5-20 timer etter 1.dose: Dosen reduseres med 4,16% per time under 24 timer.</a:t>
          </a:r>
        </a:p>
        <a:p>
          <a:pPr rtl="0"/>
          <a:r>
            <a:rPr lang="nb-NO" sz="1100" b="0" i="0" u="none" baseline="0">
              <a:solidFill>
                <a:schemeClr val="tx1"/>
              </a:solidFill>
              <a:latin typeface="+mn-lt"/>
              <a:ea typeface="+mn-ea"/>
              <a:cs typeface="+mn-cs"/>
            </a:rPr>
            <a:t>	Dersom dose 2 gis 4 timer eller kortere etter 1. dose: Anbefales full dose gitt neste døgn kl 12.00. Kan altså få maksimalt 28 timer mellom dose1 og dose 2</a:t>
          </a:r>
        </a:p>
        <a:p>
          <a:pPr rtl="0"/>
          <a:r>
            <a:rPr lang="nb-NO" sz="1100" b="0" i="0" u="none" baseline="0">
              <a:solidFill>
                <a:schemeClr val="tx1"/>
              </a:solidFill>
              <a:latin typeface="+mn-lt"/>
              <a:ea typeface="+mn-ea"/>
              <a:cs typeface="+mn-cs"/>
            </a:rPr>
            <a:t>	Ved doser som er rundet ned til 600 mg (grunnet maks dosering) gjøres dosejusteringen fra 600 mg og ikke opprinnelig dose. </a:t>
          </a:r>
        </a:p>
        <a:p>
          <a:pPr rtl="0"/>
          <a:endParaRPr lang="nb-NO" sz="1100" b="0" i="0" u="none" baseline="0">
            <a:solidFill>
              <a:schemeClr val="tx1"/>
            </a:solidFill>
            <a:latin typeface="+mn-lt"/>
            <a:ea typeface="+mn-ea"/>
            <a:cs typeface="+mn-cs"/>
          </a:endParaRPr>
        </a:p>
        <a:p>
          <a:pPr rtl="0"/>
          <a:r>
            <a:rPr lang="nb-NO" sz="1100" b="0" i="0" u="none" baseline="0">
              <a:solidFill>
                <a:schemeClr val="tx1"/>
              </a:solidFill>
              <a:latin typeface="+mn-lt"/>
              <a:ea typeface="+mn-ea"/>
              <a:cs typeface="+mn-cs"/>
            </a:rPr>
            <a:t>- Doseanbefalinger kommer når alder er lagt inn og skiller på alder over eller under 80 år. </a:t>
          </a:r>
        </a:p>
        <a:p>
          <a:pPr rtl="0"/>
          <a:r>
            <a:rPr lang="nb-NO" sz="1100" b="0" i="0" u="none" baseline="0">
              <a:solidFill>
                <a:schemeClr val="tx1"/>
              </a:solidFill>
              <a:latin typeface="+mn-lt"/>
              <a:ea typeface="+mn-ea"/>
              <a:cs typeface="+mn-cs"/>
            </a:rPr>
            <a:t>- Doseringsintervall styres etter GFR over 60:  Tre doser med dosering hver 24 time. GFR mellom 40-60: To doser, og dosering hver 36 . time. GFR under 40;  Gentamicin anbefales ikke.</a:t>
          </a:r>
        </a:p>
        <a:p>
          <a:pPr rtl="0"/>
          <a:r>
            <a:rPr lang="nb-NO" sz="1100" b="0" i="0" u="none" baseline="0">
              <a:solidFill>
                <a:schemeClr val="tx1"/>
              </a:solidFill>
              <a:latin typeface="+mn-lt"/>
              <a:ea typeface="+mn-ea"/>
              <a:cs typeface="+mn-cs"/>
            </a:rPr>
            <a:t>-Ved BMI over 35 kommer informasjonsboks om spesielle forhold for pasienter med BMI over 35.</a:t>
          </a:r>
        </a:p>
        <a:p>
          <a:pPr rtl="0"/>
          <a:r>
            <a:rPr lang="nb-NO" sz="1100" b="1" i="0" u="none" baseline="0">
              <a:solidFill>
                <a:schemeClr val="tx1"/>
              </a:solidFill>
              <a:latin typeface="+mn-lt"/>
              <a:ea typeface="+mn-ea"/>
              <a:cs typeface="+mn-cs"/>
            </a:rPr>
            <a:t>- </a:t>
          </a:r>
          <a:r>
            <a:rPr lang="nb-NO" sz="1100" b="0" i="0" u="none" baseline="0">
              <a:solidFill>
                <a:schemeClr val="tx1"/>
              </a:solidFill>
              <a:latin typeface="+mn-lt"/>
              <a:ea typeface="+mn-ea"/>
              <a:cs typeface="+mn-cs"/>
            </a:rPr>
            <a:t>Anbefaling om gentamicin-speil: </a:t>
          </a:r>
        </a:p>
        <a:p>
          <a:pPr rtl="0"/>
          <a:r>
            <a:rPr lang="nb-NO" sz="1100" b="0" i="0" u="none" baseline="0">
              <a:solidFill>
                <a:schemeClr val="tx1"/>
              </a:solidFill>
              <a:latin typeface="+mn-lt"/>
              <a:ea typeface="+mn-ea"/>
              <a:cs typeface="+mn-cs"/>
            </a:rPr>
            <a:t>		GFR over 60: 	Anbefaling om Gentamicinspeil =  Dagensdato + 3 dager og satt til kl 08 for klokeslett mellom 8-24. </a:t>
          </a:r>
        </a:p>
        <a:p>
          <a:pPr rtl="0"/>
          <a:r>
            <a:rPr lang="nb-NO" sz="1100" b="0" i="0" u="none" baseline="0">
              <a:solidFill>
                <a:schemeClr val="tx1"/>
              </a:solidFill>
              <a:latin typeface="+mn-lt"/>
              <a:ea typeface="+mn-ea"/>
              <a:cs typeface="+mn-cs"/>
            </a:rPr>
            <a:t>		                        	Anbefaling om Gentamicinspeil = Dagensdato + 2 dager og satt til kl 08 for klokkeslett mellom 01-7</a:t>
          </a:r>
        </a:p>
        <a:p>
          <a:pPr rtl="0"/>
          <a:r>
            <a:rPr lang="nb-NO" sz="1100" b="0" i="0" u="none" baseline="0">
              <a:solidFill>
                <a:schemeClr val="tx1"/>
              </a:solidFill>
              <a:latin typeface="+mn-lt"/>
              <a:ea typeface="+mn-ea"/>
              <a:cs typeface="+mn-cs"/>
            </a:rPr>
            <a:t>		GFR mellom 40-60: Anbefaling om Gentamicinspeil = Dagensdato + 3 dager og satt til kl 08 for klokkeslett mellom 12-24 </a:t>
          </a:r>
        </a:p>
        <a:p>
          <a:pPr rtl="0"/>
          <a:r>
            <a:rPr lang="nb-NO" sz="1100" b="0" i="0" u="none" baseline="0">
              <a:solidFill>
                <a:schemeClr val="tx1"/>
              </a:solidFill>
              <a:latin typeface="+mn-lt"/>
              <a:ea typeface="+mn-ea"/>
              <a:cs typeface="+mn-cs"/>
            </a:rPr>
            <a:t>			Anbefaling om Gentamicinspeil = Dagensdato + 2 dager og satt til kl 08 for klokkelsett mellom 01-11</a:t>
          </a:r>
        </a:p>
        <a:p>
          <a:pPr rtl="0"/>
          <a:r>
            <a:rPr lang="nb-NO" sz="1100" b="0" i="0" u="none" baseline="0">
              <a:solidFill>
                <a:schemeClr val="tx1"/>
              </a:solidFill>
              <a:latin typeface="+mn-lt"/>
              <a:ea typeface="+mn-ea"/>
              <a:cs typeface="+mn-cs"/>
            </a:rPr>
            <a:t>		GFR under 40: Ingen anbefaling, advarsel om at dose ikke skal gis. </a:t>
          </a:r>
          <a:endParaRPr lang="nb-NO" sz="1100" b="1" i="0" u="none" baseline="0">
            <a:solidFill>
              <a:schemeClr val="tx1"/>
            </a:solidFill>
            <a:latin typeface="+mn-lt"/>
            <a:ea typeface="+mn-ea"/>
            <a:cs typeface="+mn-cs"/>
          </a:endParaRPr>
        </a:p>
        <a:p>
          <a:pPr rtl="0"/>
          <a:endParaRPr lang="nb-NO" sz="1100" b="1" i="0" u="none" baseline="0">
            <a:solidFill>
              <a:schemeClr val="tx1"/>
            </a:solidFill>
            <a:latin typeface="+mn-lt"/>
            <a:ea typeface="+mn-ea"/>
            <a:cs typeface="+mn-cs"/>
          </a:endParaRPr>
        </a:p>
        <a:p>
          <a:pPr rtl="0"/>
          <a:endParaRPr lang="nb-NO" sz="1100" b="1" i="0" u="none" baseline="0">
            <a:solidFill>
              <a:schemeClr val="tx1"/>
            </a:solidFill>
            <a:latin typeface="+mn-lt"/>
            <a:ea typeface="+mn-ea"/>
            <a:cs typeface="+mn-cs"/>
          </a:endParaRPr>
        </a:p>
        <a:p>
          <a:pPr rtl="0"/>
          <a:r>
            <a:rPr lang="nb-NO" sz="1100" b="1" i="0" u="none" baseline="0">
              <a:solidFill>
                <a:schemeClr val="tx1"/>
              </a:solidFill>
              <a:latin typeface="+mn-lt"/>
              <a:ea typeface="+mn-ea"/>
              <a:cs typeface="+mn-cs"/>
            </a:rPr>
            <a:t>Begrensninger ved inntasting: Verdier utenfor intervall utløser varselsmelding og er ikke mulig å taste inn.</a:t>
          </a:r>
        </a:p>
        <a:p>
          <a:pPr rtl="0"/>
          <a:r>
            <a:rPr lang="nb-NO" sz="1100" b="0" i="0" u="none" baseline="0">
              <a:solidFill>
                <a:schemeClr val="tx1"/>
              </a:solidFill>
              <a:latin typeface="+mn-lt"/>
              <a:ea typeface="+mn-ea"/>
              <a:cs typeface="+mn-cs"/>
            </a:rPr>
            <a:t>Alder: 16-110 år</a:t>
          </a:r>
        </a:p>
        <a:p>
          <a:pPr rtl="0"/>
          <a:r>
            <a:rPr lang="nb-NO" sz="1100" b="0" i="0" u="none" baseline="0">
              <a:solidFill>
                <a:schemeClr val="tx1"/>
              </a:solidFill>
              <a:latin typeface="+mn-lt"/>
              <a:ea typeface="+mn-ea"/>
              <a:cs typeface="+mn-cs"/>
            </a:rPr>
            <a:t>Vekt: 35 til 250 kg</a:t>
          </a:r>
        </a:p>
        <a:p>
          <a:pPr rtl="0"/>
          <a:r>
            <a:rPr lang="nb-NO" sz="1100" b="0" i="0" u="none" baseline="0">
              <a:solidFill>
                <a:schemeClr val="tx1"/>
              </a:solidFill>
              <a:latin typeface="+mn-lt"/>
              <a:ea typeface="+mn-ea"/>
              <a:cs typeface="+mn-cs"/>
            </a:rPr>
            <a:t>Høyde: 130-210 cm</a:t>
          </a:r>
        </a:p>
        <a:p>
          <a:pPr rtl="0"/>
          <a:r>
            <a:rPr lang="nb-NO" sz="1100" b="0" i="0" u="none" baseline="0">
              <a:solidFill>
                <a:schemeClr val="tx1"/>
              </a:solidFill>
              <a:latin typeface="+mn-lt"/>
              <a:ea typeface="+mn-ea"/>
              <a:cs typeface="+mn-cs"/>
            </a:rPr>
            <a:t>Dosering: 3-7 mg/kg</a:t>
          </a:r>
        </a:p>
        <a:p>
          <a:pPr rtl="0"/>
          <a:r>
            <a:rPr lang="nb-NO" sz="1100" b="0" i="0" u="none" baseline="0">
              <a:solidFill>
                <a:schemeClr val="tx1"/>
              </a:solidFill>
              <a:latin typeface="+mn-lt"/>
              <a:ea typeface="+mn-ea"/>
              <a:cs typeface="+mn-cs"/>
            </a:rPr>
            <a:t>Kreatinin: 30-1000 mmol/l</a:t>
          </a:r>
        </a:p>
        <a:p>
          <a:pPr rtl="0"/>
          <a:r>
            <a:rPr lang="nb-NO" sz="1100" b="0" i="0" u="none" baseline="0">
              <a:solidFill>
                <a:schemeClr val="tx1"/>
              </a:solidFill>
              <a:latin typeface="+mn-lt"/>
              <a:ea typeface="+mn-ea"/>
              <a:cs typeface="+mn-cs"/>
            </a:rPr>
            <a:t>Tidspunkt: 1-24				</a:t>
          </a:r>
          <a:endParaRPr lang="nb-NO" sz="1100" b="1" u="none"/>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ll2" displayName="Tabell2" ref="H15:I18" headerRowCount="0" totalsRowShown="0" headerRowDxfId="3" dataDxfId="2">
  <tableColumns count="2">
    <tableColumn id="1" xr3:uid="{00000000-0010-0000-0000-000001000000}" name="Kolonne1" dataDxfId="1"/>
    <tableColumn id="2" xr3:uid="{00000000-0010-0000-0000-000002000000}" name="Kolonne2" dataDxfId="0"/>
  </tableColumns>
  <tableStyleInfo name="TableStyleMedium2" showFirstColumn="0" showLastColumn="0" showRowStripes="1" showColumnStripes="0"/>
</table>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solidFill>
          <a:schemeClr val="accent2">
            <a:lumMod val="20000"/>
            <a:lumOff val="80000"/>
          </a:schemeClr>
        </a:solidFill>
        <a:ln w="38100" cmpd="sng">
          <a:solidFill>
            <a:schemeClr val="tx1"/>
          </a:solidFill>
        </a:ln>
      </a:spPr>
      <a:bodyPr vertOverflow="clip" horzOverflow="clip" wrap="square" rtlCol="0" anchor="t"/>
      <a:lstStyle>
        <a:defPPr>
          <a:defRPr sz="1100" b="1" u="sng"/>
        </a:defPPr>
      </a:lstStyle>
      <a:style>
        <a:lnRef idx="0">
          <a:scrgbClr r="0" g="0" b="0"/>
        </a:lnRef>
        <a:fillRef idx="0">
          <a:scrgbClr r="0" g="0" b="0"/>
        </a:fillRef>
        <a:effectRef idx="0">
          <a:scrgbClr r="0" g="0" b="0"/>
        </a:effectRef>
        <a:fontRef idx="minor">
          <a:schemeClr val="dk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dimension ref="A1:S54"/>
  <sheetViews>
    <sheetView tabSelected="1" topLeftCell="B1" workbookViewId="0">
      <pane xSplit="13" ySplit="25" topLeftCell="P26" activePane="bottomRight" state="frozen"/>
      <selection activeCell="B1" sqref="B1"/>
      <selection pane="topRight" activeCell="O1" sqref="O1"/>
      <selection pane="bottomLeft" activeCell="B26" sqref="B26"/>
      <selection pane="bottomRight" activeCell="C14" sqref="C14"/>
    </sheetView>
  </sheetViews>
  <sheetFormatPr baseColWidth="10" defaultColWidth="11.42578125" defaultRowHeight="15" x14ac:dyDescent="0.25"/>
  <cols>
    <col min="1" max="1" width="0" hidden="1" customWidth="1"/>
    <col min="2" max="2" width="19.5703125" customWidth="1"/>
    <col min="3" max="3" width="8" customWidth="1"/>
    <col min="4" max="4" width="9.28515625" customWidth="1"/>
    <col min="5" max="5" width="25.7109375" customWidth="1"/>
    <col min="6" max="6" width="13.7109375" customWidth="1"/>
    <col min="7" max="7" width="9" customWidth="1"/>
    <col min="8" max="8" width="7.42578125" customWidth="1"/>
    <col min="9" max="9" width="7.7109375" customWidth="1"/>
    <col min="11" max="11" width="6.5703125" customWidth="1"/>
    <col min="12" max="12" width="4.85546875" customWidth="1"/>
    <col min="13" max="13" width="4" customWidth="1"/>
    <col min="14" max="14" width="39.42578125" customWidth="1"/>
    <col min="16" max="16" width="39.5703125" customWidth="1"/>
    <col min="17" max="20" width="11.5703125" customWidth="1"/>
  </cols>
  <sheetData>
    <row r="1" spans="1:16" ht="15" customHeight="1" x14ac:dyDescent="0.25">
      <c r="A1" s="11" t="s">
        <v>149</v>
      </c>
      <c r="B1" s="11"/>
      <c r="C1" s="11"/>
      <c r="D1" s="11"/>
      <c r="E1" s="11"/>
      <c r="F1" s="11"/>
      <c r="G1" s="11"/>
      <c r="H1" s="11"/>
      <c r="I1" s="11"/>
      <c r="J1" s="11"/>
      <c r="K1" s="11"/>
      <c r="L1" s="11"/>
      <c r="M1" s="26"/>
      <c r="N1" s="26"/>
    </row>
    <row r="2" spans="1:16" ht="15" customHeight="1" x14ac:dyDescent="0.25">
      <c r="A2" s="11"/>
      <c r="B2" s="11"/>
      <c r="C2" s="11"/>
      <c r="D2" s="11"/>
      <c r="E2" s="11"/>
      <c r="F2" s="11"/>
      <c r="G2" s="11"/>
      <c r="H2" s="11"/>
      <c r="I2" s="11"/>
      <c r="J2" s="11"/>
      <c r="K2" s="11"/>
      <c r="L2" s="11"/>
      <c r="M2" s="26"/>
      <c r="N2" s="26"/>
    </row>
    <row r="3" spans="1:16" ht="15" customHeight="1" x14ac:dyDescent="0.25">
      <c r="A3" s="15" t="s">
        <v>0</v>
      </c>
      <c r="B3" s="44"/>
      <c r="C3" s="44"/>
      <c r="D3" s="44"/>
      <c r="E3" s="44"/>
      <c r="F3" s="44"/>
      <c r="G3" s="15"/>
      <c r="H3" s="15"/>
      <c r="I3" s="21"/>
      <c r="J3" s="21"/>
      <c r="K3" s="21"/>
      <c r="L3" s="21"/>
      <c r="M3" s="21"/>
      <c r="N3" s="21"/>
    </row>
    <row r="4" spans="1:16" x14ac:dyDescent="0.25">
      <c r="A4" s="15"/>
      <c r="B4" s="44"/>
      <c r="C4" s="44"/>
      <c r="D4" s="44"/>
      <c r="E4" s="44"/>
      <c r="F4" s="44"/>
      <c r="G4" s="15"/>
      <c r="H4" s="15"/>
      <c r="I4" s="21"/>
      <c r="J4" s="21"/>
      <c r="K4" s="21"/>
      <c r="L4" s="21"/>
      <c r="M4" s="21"/>
      <c r="N4" s="21"/>
    </row>
    <row r="5" spans="1:16" x14ac:dyDescent="0.25">
      <c r="A5" s="15"/>
      <c r="B5" s="44"/>
      <c r="C5" s="44"/>
      <c r="D5" s="44"/>
      <c r="E5" s="44"/>
      <c r="F5" s="44"/>
      <c r="G5" s="15"/>
      <c r="H5" s="15"/>
      <c r="I5" s="21"/>
      <c r="J5" s="21"/>
      <c r="K5" s="21"/>
      <c r="L5" s="21"/>
      <c r="M5" s="21"/>
      <c r="N5" s="21"/>
    </row>
    <row r="6" spans="1:16" x14ac:dyDescent="0.25">
      <c r="A6" s="15"/>
      <c r="B6" s="44"/>
      <c r="C6" s="44"/>
      <c r="D6" s="44"/>
      <c r="E6" s="44"/>
      <c r="F6" s="44"/>
      <c r="G6" s="15"/>
      <c r="H6" s="15"/>
      <c r="I6" s="21"/>
      <c r="J6" s="21"/>
      <c r="K6" s="21"/>
      <c r="L6" s="21"/>
      <c r="M6" s="21"/>
      <c r="N6" s="21"/>
    </row>
    <row r="7" spans="1:16" x14ac:dyDescent="0.25">
      <c r="A7" s="15"/>
      <c r="B7" s="44"/>
      <c r="C7" s="44"/>
      <c r="D7" s="44"/>
      <c r="E7" s="44"/>
      <c r="F7" s="44"/>
      <c r="G7" s="15"/>
      <c r="H7" s="15"/>
      <c r="I7" s="21"/>
      <c r="J7" s="21"/>
      <c r="K7" s="21"/>
      <c r="L7" s="21"/>
      <c r="M7" s="21"/>
      <c r="N7" s="21"/>
    </row>
    <row r="8" spans="1:16" x14ac:dyDescent="0.25">
      <c r="A8" s="15"/>
      <c r="B8" s="44"/>
      <c r="C8" s="44"/>
      <c r="D8" s="44"/>
      <c r="E8" s="44"/>
      <c r="F8" s="44"/>
      <c r="G8" s="15"/>
      <c r="H8" s="15"/>
      <c r="I8" s="21"/>
      <c r="J8" s="21"/>
      <c r="K8" s="21"/>
      <c r="L8" s="21"/>
      <c r="M8" s="21"/>
      <c r="N8" s="21"/>
    </row>
    <row r="9" spans="1:16" x14ac:dyDescent="0.25">
      <c r="A9" s="21"/>
      <c r="B9" s="44"/>
      <c r="C9" s="44"/>
      <c r="D9" s="44"/>
      <c r="E9" s="44"/>
      <c r="F9" s="44"/>
      <c r="G9" s="21"/>
      <c r="H9" s="21"/>
      <c r="I9" s="21"/>
      <c r="J9" s="21"/>
      <c r="K9" s="21"/>
      <c r="L9" s="21"/>
      <c r="M9" s="21"/>
      <c r="N9" s="21"/>
    </row>
    <row r="10" spans="1:16" x14ac:dyDescent="0.25">
      <c r="A10" s="21"/>
      <c r="B10" s="21"/>
      <c r="C10" s="21"/>
      <c r="D10" s="21"/>
      <c r="E10" s="21"/>
      <c r="F10" s="21"/>
      <c r="G10" s="21"/>
      <c r="H10" s="21"/>
      <c r="I10" s="21"/>
      <c r="J10" s="21"/>
      <c r="K10" s="21"/>
      <c r="L10" s="21"/>
      <c r="M10" s="21"/>
      <c r="N10" s="21"/>
      <c r="P10" s="123"/>
    </row>
    <row r="11" spans="1:16" ht="17.25" x14ac:dyDescent="0.3">
      <c r="B11" s="7" t="s">
        <v>16</v>
      </c>
      <c r="C11" s="7"/>
      <c r="D11" s="7"/>
      <c r="E11" s="16"/>
      <c r="F11" s="16"/>
      <c r="G11" s="52" t="s">
        <v>23</v>
      </c>
      <c r="H11" s="18"/>
      <c r="I11" s="18"/>
      <c r="J11" s="19"/>
      <c r="K11" s="19"/>
      <c r="L11" s="18"/>
      <c r="M11" s="19"/>
      <c r="N11" s="19"/>
    </row>
    <row r="12" spans="1:16" ht="15.75" thickBot="1" x14ac:dyDescent="0.3">
      <c r="B12" s="17"/>
      <c r="C12" s="17"/>
      <c r="D12" s="17"/>
      <c r="E12" s="17"/>
      <c r="F12" s="17"/>
      <c r="G12" s="34"/>
      <c r="H12" s="18"/>
      <c r="I12" s="18"/>
      <c r="J12" s="18"/>
      <c r="K12" s="30"/>
      <c r="L12" s="18"/>
      <c r="M12" s="19"/>
      <c r="N12" s="19"/>
    </row>
    <row r="13" spans="1:16" ht="16.5" thickBot="1" x14ac:dyDescent="0.3">
      <c r="B13" s="29" t="s">
        <v>9</v>
      </c>
      <c r="C13" s="46"/>
      <c r="D13" s="42"/>
      <c r="E13" s="17"/>
      <c r="F13" s="17"/>
      <c r="G13" s="31" t="s">
        <v>24</v>
      </c>
      <c r="H13" s="35" t="str">
        <f>IF(OR(C19="",C18="",C17="",C16="",C15="",C14="",C13=""),"",'Ark2'!G43)</f>
        <v/>
      </c>
      <c r="I13" s="32" t="s">
        <v>27</v>
      </c>
      <c r="J13" s="10" t="str">
        <f ca="1">IF(OR(C19="",C18="",C17="",C16="",C15="",C14="",C13=""),"",IF('Ark2'!F29=3," Gis umiddelbart  -   "&amp;TEXT(NOW(),"DD.MM.ÅÅÅÅ kl.")&amp;C19&amp;":00",IF('Ark2'!F29=2," Gis umiddelbart  -  "&amp;TEXT(NOW(),"DD.MM.ÅÅÅÅ kl.")&amp;C19&amp;":00",IF('Ark2'!F29=1,"Gentamicin anbefales ikke ved GFR &lt;40.  "))))</f>
        <v/>
      </c>
      <c r="K13" s="9"/>
      <c r="L13" s="9"/>
      <c r="M13" s="9"/>
      <c r="N13" s="8"/>
    </row>
    <row r="14" spans="1:16" ht="16.5" thickBot="1" x14ac:dyDescent="0.3">
      <c r="B14" s="29" t="s">
        <v>3</v>
      </c>
      <c r="C14" s="47"/>
      <c r="D14" s="28" t="s">
        <v>148</v>
      </c>
      <c r="E14" s="17"/>
      <c r="F14" s="17"/>
      <c r="G14" s="31" t="s">
        <v>25</v>
      </c>
      <c r="H14" s="36" t="str">
        <f>IF(OR(C19="",C18="",C17="",C16="",C15="",C14="",C13=""),"",IF(AND((C43&gt;60),(C19&lt;12),(C19&gt;7)),('Ark2'!G43),'Ark2'!G44))</f>
        <v/>
      </c>
      <c r="I14" s="32" t="s">
        <v>27</v>
      </c>
      <c r="J14" s="10" t="str">
        <f ca="1">IF(OR(C19="",C18="",C17="",C16="",C15="",C14="",C13=""),"",IF('Ark2'!F29=3,IF(C19&gt;7," Gis "&amp;TEXT(NOW()+1,"DD.MM.ÅÅÅÅ kl.")&amp;"12:00"," Gis "&amp;TEXT(NOW(),"DD.MM.ÅÅÅÅ kl.")&amp;"12:00"),IF('Ark2'!F29=2," Gis 36 timer etter dose 1  -  "&amp;TEXT((DATEVALUE(TEXT(NOW(),"dd.mm.åååå")))+C19/24+36/24,"DD.MM.ÅÅÅÅ kl. TT:MM"),IF('Ark2'!F29=1,"Gentamicin anbefales ikke ved GFR &lt;40.  "))))</f>
        <v/>
      </c>
      <c r="K14" s="9"/>
      <c r="L14" s="9"/>
      <c r="M14" s="9"/>
      <c r="N14" s="8"/>
    </row>
    <row r="15" spans="1:16" ht="16.5" thickBot="1" x14ac:dyDescent="0.3">
      <c r="B15" s="29" t="s">
        <v>4</v>
      </c>
      <c r="C15" s="47"/>
      <c r="D15" s="28" t="s">
        <v>5</v>
      </c>
      <c r="E15" s="17"/>
      <c r="F15" s="17"/>
      <c r="G15" s="31" t="s">
        <v>26</v>
      </c>
      <c r="H15" s="36" t="str">
        <f>IF(OR(C19="",C18="",C17="",C16="",C15="",C14="",C13=""),"",'Ark2'!G45)</f>
        <v/>
      </c>
      <c r="I15" s="32" t="s">
        <v>27</v>
      </c>
      <c r="J15" s="10" t="str">
        <f ca="1">IF(OR(C19="",C18="",C17="",C16="",C15="",C14="",C13=""),"",IF('Ark2'!F29=3,IF(C19&gt;7," Gis "&amp;TEXT(NOW()+2,"DD.MM.ÅÅÅÅ kl.")&amp;"12:00"," Gis "&amp;TEXT(NOW()+1,"DD.MM.ÅÅÅÅ kl.")&amp;"12:00"),IF('Ark2'!F29=2," Tredje dose Gentamicin skal ikke gis",IF('Ark2'!F29=1,"Gentamicin anbefales ikke ved GFR &lt;40.  "))))</f>
        <v/>
      </c>
      <c r="K15" s="9"/>
      <c r="L15" s="9"/>
      <c r="M15" s="9"/>
      <c r="N15" s="8"/>
    </row>
    <row r="16" spans="1:16" ht="15.75" thickBot="1" x14ac:dyDescent="0.3">
      <c r="B16" s="29" t="s">
        <v>6</v>
      </c>
      <c r="C16" s="47"/>
      <c r="D16" s="28" t="s">
        <v>7</v>
      </c>
      <c r="E16" s="17"/>
      <c r="F16" s="17"/>
      <c r="G16" s="34"/>
      <c r="H16" s="19"/>
      <c r="I16" s="19"/>
      <c r="J16" s="19"/>
      <c r="K16" s="19"/>
      <c r="L16" s="19"/>
      <c r="M16" s="19"/>
      <c r="N16" s="19"/>
    </row>
    <row r="17" spans="2:19" ht="16.149999999999999" customHeight="1" thickBot="1" x14ac:dyDescent="0.3">
      <c r="B17" s="48" t="s">
        <v>1</v>
      </c>
      <c r="C17" s="47"/>
      <c r="D17" s="49" t="s">
        <v>2</v>
      </c>
      <c r="E17" s="17"/>
      <c r="F17" s="17"/>
      <c r="G17" s="14" t="s">
        <v>150</v>
      </c>
      <c r="H17" s="13"/>
      <c r="I17" s="13"/>
      <c r="J17" s="13"/>
      <c r="K17" s="13"/>
      <c r="L17" s="13"/>
      <c r="M17" s="12"/>
      <c r="N17" s="103" t="str">
        <f ca="1">IF(OR(C19="",C18="",C17="",C16="",C15="",C14="",C13=""),"",IF(AND(C43&gt;60,C19&gt;7,C19&lt;12),TEXT(NOW()+3,"DD.MM.ÅÅÅÅ kl.")&amp;" 08:00",(IF(C43&gt;=40,IF(C19&gt;11,TEXT(NOW()+3,"DD.MM.ÅÅÅÅ kl.")&amp;" 08:00",TEXT(NOW()+2,"DD.MM.ÅÅÅÅ kl.")&amp;" 08:00"),IF(C43&lt;40,"Gentamicin anbefales ikke ved GFR &lt; 40"," "&amp;TEXT(NOW()+3,"DD.MM.ÅÅÅÅ kl.")&amp;"  08:00")))))</f>
        <v/>
      </c>
    </row>
    <row r="18" spans="2:19" ht="15.75" customHeight="1" thickBot="1" x14ac:dyDescent="0.3">
      <c r="B18" s="29" t="s">
        <v>8</v>
      </c>
      <c r="C18" s="64"/>
      <c r="D18" s="45" t="s">
        <v>187</v>
      </c>
      <c r="E18" s="118"/>
      <c r="F18" s="53"/>
      <c r="G18" s="106"/>
      <c r="H18" s="106"/>
      <c r="I18" s="106"/>
      <c r="J18" s="33"/>
      <c r="K18" s="19"/>
      <c r="L18" s="19"/>
      <c r="M18" s="19"/>
      <c r="N18" s="19"/>
    </row>
    <row r="19" spans="2:19" ht="15.75" thickBot="1" x14ac:dyDescent="0.3">
      <c r="B19" s="50" t="s">
        <v>22</v>
      </c>
      <c r="C19" s="51"/>
      <c r="D19" s="102" t="s">
        <v>146</v>
      </c>
      <c r="E19" s="40"/>
      <c r="F19" s="54"/>
      <c r="G19" s="33"/>
      <c r="H19" s="33"/>
      <c r="I19" s="33"/>
      <c r="J19" s="33"/>
      <c r="K19" s="19"/>
      <c r="L19" s="19"/>
      <c r="M19" s="19"/>
      <c r="N19" s="19"/>
    </row>
    <row r="20" spans="2:19" ht="23.25" customHeight="1" thickBot="1" x14ac:dyDescent="0.3">
      <c r="B20" s="17"/>
      <c r="C20" s="119"/>
      <c r="D20" s="17"/>
      <c r="E20" s="17"/>
      <c r="F20" s="17"/>
      <c r="G20" s="19"/>
      <c r="H20" s="19"/>
      <c r="I20" s="19"/>
      <c r="J20" s="19"/>
      <c r="K20" s="19"/>
      <c r="L20" s="19"/>
      <c r="M20" s="19"/>
      <c r="N20" s="19"/>
    </row>
    <row r="21" spans="2:19" ht="15.75" thickBot="1" x14ac:dyDescent="0.3">
      <c r="B21" s="45" t="s">
        <v>28</v>
      </c>
      <c r="C21" s="129" t="str">
        <f>IF(OR(C19="",C18="",C17="",C16="",C15="",C14="",C13=""),"",IF(C43&gt;90,"&gt; 90",C43))</f>
        <v/>
      </c>
      <c r="D21" s="45" t="s">
        <v>46</v>
      </c>
      <c r="E21" s="17"/>
      <c r="F21" s="17"/>
      <c r="G21" s="19"/>
      <c r="H21" s="19"/>
      <c r="I21" s="19"/>
      <c r="J21" s="19"/>
      <c r="K21" s="19"/>
      <c r="L21" s="19"/>
      <c r="M21" s="19"/>
      <c r="N21" s="19"/>
    </row>
    <row r="22" spans="2:19" ht="15.75" thickBot="1" x14ac:dyDescent="0.3">
      <c r="B22" s="45" t="s">
        <v>12</v>
      </c>
      <c r="C22" s="130" t="str">
        <f>C31</f>
        <v/>
      </c>
      <c r="D22" s="17"/>
      <c r="E22" s="17"/>
      <c r="F22" s="17"/>
      <c r="G22" s="19"/>
      <c r="H22" s="19"/>
      <c r="I22" s="19"/>
      <c r="J22" s="19"/>
      <c r="K22" s="19"/>
      <c r="L22" s="19"/>
      <c r="M22" s="19"/>
      <c r="N22" s="19"/>
    </row>
    <row r="23" spans="2:19" x14ac:dyDescent="0.25">
      <c r="B23" s="17"/>
      <c r="C23" s="17"/>
      <c r="D23" s="17"/>
      <c r="E23" s="17"/>
      <c r="F23" s="17"/>
      <c r="G23" s="19"/>
      <c r="H23" s="19"/>
      <c r="I23" s="19"/>
      <c r="J23" s="19"/>
      <c r="K23" s="19"/>
      <c r="L23" s="19"/>
      <c r="M23" s="19"/>
      <c r="N23" s="19"/>
    </row>
    <row r="24" spans="2:19" x14ac:dyDescent="0.25">
      <c r="B24" s="17"/>
      <c r="C24" s="17"/>
      <c r="D24" s="17"/>
      <c r="E24" s="17"/>
      <c r="F24" s="17"/>
      <c r="G24" s="19"/>
      <c r="H24" s="19"/>
      <c r="I24" s="19"/>
      <c r="J24" s="19"/>
      <c r="K24" s="19"/>
      <c r="L24" s="19"/>
      <c r="M24" s="19"/>
      <c r="N24" s="19"/>
    </row>
    <row r="25" spans="2:19" x14ac:dyDescent="0.25">
      <c r="B25" s="17"/>
      <c r="C25" s="17"/>
      <c r="D25" s="17"/>
      <c r="E25" s="17"/>
      <c r="F25" s="17"/>
      <c r="G25" s="19"/>
      <c r="H25" s="19"/>
      <c r="I25" s="19"/>
      <c r="J25" s="19"/>
      <c r="K25" s="19"/>
      <c r="L25" s="19"/>
      <c r="M25" s="19"/>
      <c r="N25" s="19"/>
    </row>
    <row r="27" spans="2:19" x14ac:dyDescent="0.25">
      <c r="B27" s="65"/>
      <c r="C27" s="65"/>
      <c r="D27" s="65"/>
      <c r="E27" s="65"/>
      <c r="F27" s="65"/>
      <c r="G27" s="65"/>
      <c r="H27" s="65"/>
      <c r="I27" s="65"/>
      <c r="J27" s="65"/>
      <c r="K27" s="65"/>
      <c r="L27" s="65"/>
      <c r="M27" s="65"/>
      <c r="N27" s="65"/>
    </row>
    <row r="28" spans="2:19" x14ac:dyDescent="0.25">
      <c r="B28" s="65"/>
      <c r="C28" s="65"/>
      <c r="D28" s="65"/>
      <c r="E28" s="65"/>
      <c r="F28" s="65"/>
      <c r="G28" s="65"/>
      <c r="H28" s="65"/>
      <c r="I28" s="65"/>
      <c r="J28" s="65"/>
      <c r="K28" s="65"/>
      <c r="L28" s="65"/>
      <c r="M28" s="65"/>
      <c r="N28" s="65"/>
    </row>
    <row r="29" spans="2:19" x14ac:dyDescent="0.25">
      <c r="B29" s="65"/>
      <c r="C29" s="65"/>
      <c r="D29" s="65"/>
      <c r="E29" s="65"/>
      <c r="F29" s="65"/>
      <c r="G29" s="65"/>
      <c r="H29" s="65"/>
      <c r="I29" s="65"/>
      <c r="J29" s="65"/>
      <c r="K29" s="65"/>
      <c r="L29" s="65"/>
      <c r="M29" s="65"/>
      <c r="N29" s="65" t="s">
        <v>234</v>
      </c>
    </row>
    <row r="30" spans="2:19" x14ac:dyDescent="0.25">
      <c r="B30" s="125"/>
      <c r="C30" s="125"/>
      <c r="D30" s="125"/>
      <c r="E30" s="125"/>
      <c r="F30" s="125"/>
      <c r="G30" s="65"/>
      <c r="H30" s="65"/>
      <c r="I30" s="65"/>
      <c r="J30" s="65"/>
      <c r="K30" s="65"/>
      <c r="L30" s="65"/>
      <c r="M30" s="65"/>
      <c r="N30" s="65"/>
      <c r="S30" s="43"/>
    </row>
    <row r="31" spans="2:19" x14ac:dyDescent="0.25">
      <c r="B31" s="125" t="s">
        <v>12</v>
      </c>
      <c r="C31" s="125" t="str">
        <f>IF('Ark2'!B22=0,"",'Ark2'!B22)</f>
        <v/>
      </c>
      <c r="D31" s="125"/>
      <c r="E31" s="125" t="s">
        <v>185</v>
      </c>
      <c r="F31" s="125">
        <f>IF(C31="",0,IF((C31&gt;35),1,2))</f>
        <v>0</v>
      </c>
      <c r="G31" s="125"/>
      <c r="H31" s="65"/>
      <c r="I31" s="65"/>
      <c r="J31" s="65"/>
      <c r="K31" s="65"/>
      <c r="L31" s="65"/>
      <c r="M31" s="65"/>
      <c r="N31" s="65"/>
      <c r="S31" s="43"/>
    </row>
    <row r="32" spans="2:19" x14ac:dyDescent="0.25">
      <c r="B32" s="125" t="s">
        <v>14</v>
      </c>
      <c r="C32" s="125">
        <f>IF('Ark2'!D15=1,'Ark2'!B26,'Ark2'!B27)</f>
        <v>-91.300000000000011</v>
      </c>
      <c r="D32" s="125"/>
      <c r="E32" s="125"/>
      <c r="F32" s="125"/>
      <c r="G32" s="125"/>
      <c r="H32" s="65"/>
      <c r="I32" s="65"/>
      <c r="J32" s="65"/>
      <c r="K32" s="65"/>
      <c r="L32" s="65"/>
      <c r="M32" s="65"/>
      <c r="N32" s="65"/>
      <c r="S32" s="43"/>
    </row>
    <row r="33" spans="2:19" x14ac:dyDescent="0.25">
      <c r="B33" s="125" t="s">
        <v>15</v>
      </c>
      <c r="C33" s="125" t="str">
        <f>IF(ISBLANK(C15),"",(IF('Ark2'!D15=1,'Ark2'!B26,'Ark2'!B27))+(0.4*(C15-C32)))</f>
        <v/>
      </c>
      <c r="D33" s="125"/>
      <c r="E33" s="125" t="s">
        <v>213</v>
      </c>
      <c r="F33" s="125">
        <f>C32*1.249</f>
        <v>-114.03370000000002</v>
      </c>
      <c r="G33" s="125"/>
      <c r="H33" s="65"/>
      <c r="I33" s="65"/>
      <c r="J33" s="65"/>
      <c r="K33" s="65"/>
      <c r="L33" s="65"/>
      <c r="M33" s="65"/>
      <c r="N33" s="65"/>
      <c r="S33" s="43"/>
    </row>
    <row r="34" spans="2:19" x14ac:dyDescent="0.25">
      <c r="B34" s="125" t="s">
        <v>183</v>
      </c>
      <c r="C34" s="125" t="str">
        <f>IF((C32*1.25)&gt;C15,(C15),IF(F33&gt;C33,F33,C33))</f>
        <v/>
      </c>
      <c r="D34" s="125"/>
      <c r="E34" s="125"/>
      <c r="F34" s="125"/>
      <c r="G34" s="125"/>
      <c r="H34" s="65"/>
      <c r="I34" s="65"/>
      <c r="J34" s="65"/>
      <c r="K34" s="65"/>
      <c r="L34" s="65"/>
      <c r="M34" s="65"/>
      <c r="N34" s="65"/>
      <c r="S34" s="43"/>
    </row>
    <row r="35" spans="2:19" x14ac:dyDescent="0.25">
      <c r="B35" s="125" t="s">
        <v>28</v>
      </c>
      <c r="C35" s="125" t="str">
        <f>IF(OR(C19="",C18="",C17="",C16="",C15="",C14="",C13=""),"",(IF('Ark2'!D15=1,'Ark2'!B31,'Ark2'!B32)))</f>
        <v/>
      </c>
      <c r="D35" s="125"/>
      <c r="E35" s="125" t="s">
        <v>99</v>
      </c>
      <c r="F35" s="125">
        <f>IF(ISBLANK(C18),0,IF((C18&gt;60),1,2))</f>
        <v>0</v>
      </c>
      <c r="G35" s="125"/>
      <c r="H35" s="65"/>
      <c r="I35" s="65"/>
      <c r="J35" s="65"/>
      <c r="K35" s="65"/>
      <c r="L35" s="65"/>
      <c r="M35" s="65"/>
      <c r="N35" s="65"/>
      <c r="S35" s="43"/>
    </row>
    <row r="36" spans="2:19" x14ac:dyDescent="0.25">
      <c r="B36" s="125" t="s">
        <v>45</v>
      </c>
      <c r="C36" s="125">
        <f>IF(C14&lt;80,1,2)</f>
        <v>1</v>
      </c>
      <c r="D36" s="125">
        <f>IF(ISBLANK(C14),0,C36)</f>
        <v>0</v>
      </c>
      <c r="E36" s="125" t="s">
        <v>100</v>
      </c>
      <c r="F36" s="125">
        <f>IF(OR(H13="",H13="*"),0,IF(('Ark2'!F43&gt;600),1,2))</f>
        <v>0</v>
      </c>
      <c r="G36" s="125"/>
      <c r="H36" s="65"/>
      <c r="I36" s="65"/>
      <c r="J36" s="65"/>
      <c r="K36" s="65"/>
      <c r="L36" s="65"/>
      <c r="M36" s="65"/>
      <c r="N36" s="65"/>
      <c r="S36" s="43"/>
    </row>
    <row r="37" spans="2:19" x14ac:dyDescent="0.25">
      <c r="B37" s="125" t="s">
        <v>184</v>
      </c>
      <c r="C37" s="125">
        <f>IF(C31&gt;35,2,1)</f>
        <v>2</v>
      </c>
      <c r="D37" s="125"/>
      <c r="E37" s="125"/>
      <c r="F37" s="125"/>
      <c r="G37" s="125"/>
      <c r="H37" s="65"/>
      <c r="I37" s="65"/>
      <c r="J37" s="65"/>
      <c r="K37" s="65"/>
      <c r="L37" s="65"/>
      <c r="M37" s="65"/>
      <c r="N37" s="65"/>
    </row>
    <row r="38" spans="2:19" x14ac:dyDescent="0.25">
      <c r="B38" s="125"/>
      <c r="C38" s="125"/>
      <c r="D38" s="125"/>
      <c r="E38" s="125"/>
      <c r="F38" s="125"/>
      <c r="G38" s="125"/>
      <c r="H38" s="65"/>
      <c r="I38" s="65"/>
      <c r="J38" s="65"/>
      <c r="K38" s="65"/>
      <c r="L38" s="65"/>
      <c r="M38" s="65"/>
      <c r="N38" s="65"/>
    </row>
    <row r="39" spans="2:19" x14ac:dyDescent="0.25">
      <c r="B39" s="125" t="s">
        <v>214</v>
      </c>
      <c r="C39" s="125" t="str">
        <f>IF(C31&lt;=(30),C15,C33)</f>
        <v/>
      </c>
      <c r="D39" s="125"/>
      <c r="E39" s="125"/>
      <c r="F39" s="125"/>
      <c r="G39" s="125"/>
      <c r="H39" s="65"/>
      <c r="I39" s="65"/>
      <c r="J39" s="65"/>
      <c r="K39" s="65"/>
      <c r="L39" s="65"/>
      <c r="M39" s="65"/>
      <c r="N39" s="65"/>
    </row>
    <row r="40" spans="2:19" x14ac:dyDescent="0.25">
      <c r="B40" s="125" t="s">
        <v>186</v>
      </c>
      <c r="C40" s="65"/>
      <c r="D40" s="65"/>
      <c r="E40" s="65"/>
      <c r="F40" s="65"/>
      <c r="G40" s="65"/>
      <c r="H40" s="65"/>
      <c r="I40" s="65"/>
      <c r="J40" s="65"/>
      <c r="K40" s="65"/>
      <c r="L40" s="65"/>
      <c r="M40" s="65"/>
      <c r="N40" s="65"/>
    </row>
    <row r="41" spans="2:19" x14ac:dyDescent="0.25">
      <c r="B41" s="65"/>
      <c r="C41" s="65"/>
      <c r="D41" s="65"/>
      <c r="E41" s="65"/>
      <c r="F41" s="65"/>
      <c r="G41" s="65"/>
      <c r="H41" s="65"/>
      <c r="I41" s="65"/>
      <c r="J41" s="65"/>
      <c r="K41" s="65"/>
      <c r="L41" s="65"/>
      <c r="M41" s="65"/>
      <c r="N41" s="65"/>
    </row>
    <row r="42" spans="2:19" x14ac:dyDescent="0.25">
      <c r="B42" s="125" t="s">
        <v>208</v>
      </c>
      <c r="C42" s="65" t="str">
        <f>IF(ISBLANK((Gentacalc!C14)*ISBLANK(Gentacalc!C15)*ISBLANK(Gentacalc!C16)*ISBLANK(C18)),"",IF((ISBLANK(C14)*ISBLANK(C15)*ISBLANK(C16)*ISBLANK(C18)*ISBLANK(C17)*ISBLANK(C19)),"",(((140-(Gentacalc!$C$14))*((29.9)*((C16/100)*(C16/100))/(0.814*(Gentacalc!$C$18))*'Ark2'!E15)))))</f>
        <v/>
      </c>
      <c r="D42" s="65"/>
      <c r="E42" s="65"/>
      <c r="F42" s="65"/>
      <c r="G42" s="65"/>
      <c r="H42" s="65"/>
      <c r="I42" s="65"/>
      <c r="J42" s="65"/>
      <c r="K42" s="65"/>
      <c r="L42" s="65"/>
      <c r="M42" s="65"/>
      <c r="N42" s="65"/>
    </row>
    <row r="43" spans="2:19" x14ac:dyDescent="0.25">
      <c r="B43" s="125" t="s">
        <v>209</v>
      </c>
      <c r="C43" s="65" t="str">
        <f>IF(C31&lt;=(30),C35,IF(C42&gt;C35,C42,C35))</f>
        <v/>
      </c>
      <c r="D43" s="65"/>
      <c r="E43" s="65"/>
      <c r="F43" s="65"/>
      <c r="G43" s="65"/>
      <c r="H43" s="65"/>
      <c r="I43" s="65"/>
      <c r="J43" s="65"/>
      <c r="K43" s="65"/>
      <c r="L43" s="65"/>
      <c r="M43" s="65"/>
      <c r="N43" s="65"/>
    </row>
    <row r="44" spans="2:19" x14ac:dyDescent="0.25">
      <c r="B44" s="125" t="s">
        <v>210</v>
      </c>
      <c r="C44" s="65"/>
      <c r="D44" s="65"/>
      <c r="E44" s="65"/>
      <c r="F44" s="65"/>
      <c r="G44" s="65"/>
      <c r="H44" s="65"/>
      <c r="I44" s="65"/>
      <c r="J44" s="65"/>
      <c r="K44" s="65"/>
      <c r="L44" s="65"/>
      <c r="M44" s="65"/>
      <c r="N44" s="65"/>
    </row>
    <row r="45" spans="2:19" x14ac:dyDescent="0.25">
      <c r="B45" s="65"/>
      <c r="C45" s="65"/>
      <c r="D45" s="65"/>
      <c r="E45" s="65"/>
      <c r="F45" s="65"/>
      <c r="G45" s="65"/>
      <c r="H45" s="65"/>
      <c r="I45" s="65"/>
      <c r="J45" s="65"/>
      <c r="K45" s="65"/>
      <c r="L45" s="65"/>
      <c r="M45" s="65"/>
      <c r="N45" s="65"/>
    </row>
    <row r="46" spans="2:19" x14ac:dyDescent="0.25">
      <c r="B46" s="125" t="s">
        <v>211</v>
      </c>
      <c r="C46" s="65"/>
      <c r="D46" s="65"/>
      <c r="E46" s="65"/>
      <c r="F46" s="65"/>
      <c r="G46" s="65"/>
      <c r="H46" s="65"/>
      <c r="I46" s="65"/>
      <c r="J46" s="65"/>
      <c r="K46" s="65"/>
      <c r="L46" s="65"/>
      <c r="M46" s="65"/>
      <c r="N46" s="65"/>
    </row>
    <row r="47" spans="2:19" x14ac:dyDescent="0.25">
      <c r="B47" s="65"/>
      <c r="C47" s="65"/>
      <c r="D47" s="65"/>
      <c r="E47" s="65"/>
      <c r="F47" s="65"/>
      <c r="G47" s="65"/>
      <c r="H47" s="65"/>
      <c r="I47" s="65"/>
      <c r="J47" s="65"/>
      <c r="K47" s="65"/>
      <c r="L47" s="65"/>
      <c r="M47" s="65"/>
      <c r="N47" s="65"/>
    </row>
    <row r="48" spans="2:19" x14ac:dyDescent="0.25">
      <c r="B48" s="65" t="s">
        <v>212</v>
      </c>
      <c r="C48" s="65"/>
      <c r="D48" s="65"/>
      <c r="E48" s="65"/>
      <c r="F48" s="65"/>
      <c r="G48" s="65"/>
      <c r="H48" s="65"/>
      <c r="I48" s="65"/>
      <c r="J48" s="65"/>
      <c r="K48" s="65"/>
      <c r="L48" s="65"/>
      <c r="M48" s="65"/>
      <c r="N48" s="65"/>
    </row>
    <row r="49" spans="2:14" x14ac:dyDescent="0.25">
      <c r="B49" s="65" t="s">
        <v>65</v>
      </c>
      <c r="C49" s="65"/>
      <c r="D49" s="65"/>
      <c r="E49" s="65"/>
      <c r="F49" s="65"/>
      <c r="G49" s="65"/>
      <c r="H49" s="65"/>
      <c r="I49" s="65"/>
      <c r="J49" s="65"/>
      <c r="K49" s="65"/>
      <c r="L49" s="65"/>
      <c r="M49" s="65"/>
      <c r="N49" s="65"/>
    </row>
    <row r="52" spans="2:14" x14ac:dyDescent="0.25">
      <c r="B52" s="65" t="s">
        <v>63</v>
      </c>
    </row>
    <row r="53" spans="2:14" x14ac:dyDescent="0.25">
      <c r="B53" s="65" t="s">
        <v>64</v>
      </c>
    </row>
    <row r="54" spans="2:14" x14ac:dyDescent="0.25">
      <c r="B54" s="65" t="s">
        <v>62</v>
      </c>
    </row>
  </sheetData>
  <sheetProtection algorithmName="SHA-512" hashValue="ijhGLbeqLHWpH+xszZB7xg1YUAWgHLvLvWoy+6un7gE+UeMu+Eq2uMEniO/XKTBveGSD8I/I/mHw4ai3deSagg==" saltValue="jjiJF0c4QIjcEeMkyAIwiQ==" spinCount="100000" sheet="1" objects="1" scenarios="1" selectLockedCells="1"/>
  <mergeCells count="6">
    <mergeCell ref="G17:M17"/>
    <mergeCell ref="A1:L2"/>
    <mergeCell ref="J13:N13"/>
    <mergeCell ref="J14:N14"/>
    <mergeCell ref="J15:N15"/>
    <mergeCell ref="B11:D11"/>
  </mergeCells>
  <conditionalFormatting sqref="Q2">
    <cfRule type="containsText" dxfId="4" priority="1" operator="containsText" text="Relative kontraindikasjoner for Gentamici">
      <formula>NOT(ISERROR(SEARCH("Relative kontraindikasjoner for Gentamici",Q2)))</formula>
    </cfRule>
  </conditionalFormatting>
  <dataValidations count="6">
    <dataValidation type="whole" allowBlank="1" showInputMessage="1" showErrorMessage="1" errorTitle="Dosering utenfor anbefalt område" error="Dosering er utenfor anbefalt område!_x000a_" sqref="C17" xr:uid="{00000000-0002-0000-0000-000000000000}">
      <formula1>3</formula1>
      <formula2>7</formula2>
    </dataValidation>
    <dataValidation type="whole" allowBlank="1" showInputMessage="1" showErrorMessage="1" errorTitle="Ikke beregent til bruk på barn!" error="Kalkulatoren er ikke beregnet til bruk på barn under 16 år" sqref="C14" xr:uid="{00000000-0002-0000-0000-000001000000}">
      <formula1>16</formula1>
      <formula2>110</formula2>
    </dataValidation>
    <dataValidation type="whole" allowBlank="1" showInputMessage="1" showErrorMessage="1" errorTitle="Ekstremverdi på vekt" error="Kalkulatoren er ikke beregnet på pasienter med grov undervekt eller overvekt" sqref="C15" xr:uid="{00000000-0002-0000-0000-000002000000}">
      <formula1>35</formula1>
      <formula2>250</formula2>
    </dataValidation>
    <dataValidation type="whole" allowBlank="1" showInputMessage="1" showErrorMessage="1" errorTitle="Er høyden korrekt?" error="Må tastes i centimeter (cm)" sqref="C16" xr:uid="{00000000-0002-0000-0000-000003000000}">
      <formula1>130</formula1>
      <formula2>210</formula2>
    </dataValidation>
    <dataValidation type="whole" allowBlank="1" showInputMessage="1" showErrorMessage="1" errorTitle="Ugyldig klokkeslett!" error="Klokkeslett oppgis som mellom 1 og 24. " sqref="C19" xr:uid="{00000000-0002-0000-0000-000004000000}">
      <formula1>1</formula1>
      <formula2>24</formula2>
    </dataValidation>
    <dataValidation type="whole" allowBlank="1" showInputMessage="1" showErrorMessage="1" errorTitle="Korrekt s-kreatinin?" error="S-kreatinin er en ekstremverdi, er dette rikitg?" sqref="C18" xr:uid="{00000000-0002-0000-0000-000005000000}">
      <formula1>30</formula1>
      <formula2>1000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56" r:id="rId4" name="TempCombo">
          <controlPr defaultSize="0" autoLine="0" linkedCell="$C$13" listFillRange="'Ark2'!$A$15:$A$16" r:id="rId5">
            <anchor moveWithCells="1">
              <from>
                <xdr:col>2</xdr:col>
                <xdr:colOff>0</xdr:colOff>
                <xdr:row>12</xdr:row>
                <xdr:rowOff>0</xdr:rowOff>
              </from>
              <to>
                <xdr:col>3</xdr:col>
                <xdr:colOff>57150</xdr:colOff>
                <xdr:row>13</xdr:row>
                <xdr:rowOff>57150</xdr:rowOff>
              </to>
            </anchor>
          </controlPr>
        </control>
      </mc:Choice>
      <mc:Fallback>
        <control shapeId="1056" r:id="rId4" name="TempCombo"/>
      </mc:Fallback>
    </mc:AlternateContent>
  </controls>
  <extLst>
    <ext xmlns:x14="http://schemas.microsoft.com/office/spreadsheetml/2009/9/main" uri="{CCE6A557-97BC-4b89-ADB6-D9C93CAAB3DF}">
      <x14:dataValidations xmlns:xm="http://schemas.microsoft.com/office/excel/2006/main" count="1">
        <x14:dataValidation type="list" allowBlank="1" showDropDown="1" showInputMessage="1" showErrorMessage="1" xr:uid="{00000000-0002-0000-0000-000006000000}">
          <x14:formula1>
            <xm:f>'Ark2'!$A$15:$A$16</xm:f>
          </x14:formula1>
          <xm:sqref>C13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2"/>
  <dimension ref="A14:L67"/>
  <sheetViews>
    <sheetView workbookViewId="0">
      <selection activeCell="B32" sqref="B32"/>
    </sheetView>
  </sheetViews>
  <sheetFormatPr baseColWidth="10" defaultColWidth="11.42578125" defaultRowHeight="15" x14ac:dyDescent="0.25"/>
  <cols>
    <col min="1" max="1" width="24.42578125" customWidth="1"/>
    <col min="5" max="5" width="50.28515625" customWidth="1"/>
    <col min="8" max="8" width="38.7109375" bestFit="1" customWidth="1"/>
    <col min="9" max="9" width="21.7109375" bestFit="1" customWidth="1"/>
  </cols>
  <sheetData>
    <row r="14" spans="1:9" x14ac:dyDescent="0.25">
      <c r="A14" s="24" t="s">
        <v>9</v>
      </c>
      <c r="B14" s="24"/>
      <c r="D14" s="17" t="s">
        <v>21</v>
      </c>
      <c r="E14" s="17"/>
    </row>
    <row r="15" spans="1:9" x14ac:dyDescent="0.25">
      <c r="A15" s="25" t="s">
        <v>10</v>
      </c>
      <c r="B15" s="25">
        <v>1</v>
      </c>
      <c r="D15" s="17">
        <f>IF(Gentacalc!C13="Mann",B15,B16)</f>
        <v>2</v>
      </c>
      <c r="E15" s="17">
        <f>IF(D15=1,1,(0.85))</f>
        <v>0.85</v>
      </c>
      <c r="H15" s="124"/>
      <c r="I15" s="124"/>
    </row>
    <row r="16" spans="1:9" x14ac:dyDescent="0.25">
      <c r="A16" s="25" t="s">
        <v>11</v>
      </c>
      <c r="B16" s="25">
        <v>2</v>
      </c>
      <c r="H16" s="124"/>
      <c r="I16" s="124"/>
    </row>
    <row r="17" spans="1:12" x14ac:dyDescent="0.25">
      <c r="H17" s="124"/>
      <c r="I17" s="124"/>
    </row>
    <row r="18" spans="1:12" x14ac:dyDescent="0.25">
      <c r="H18" s="124"/>
      <c r="I18" s="124"/>
    </row>
    <row r="19" spans="1:12" x14ac:dyDescent="0.25">
      <c r="A19" s="23"/>
      <c r="B19" s="23" t="s">
        <v>12</v>
      </c>
      <c r="C19" s="23"/>
      <c r="J19" s="39"/>
    </row>
    <row r="20" spans="1:12" x14ac:dyDescent="0.25">
      <c r="A20" s="23" t="s">
        <v>4</v>
      </c>
      <c r="B20" s="23">
        <f>Gentacalc!C15</f>
        <v>0</v>
      </c>
      <c r="C20" s="23"/>
    </row>
    <row r="21" spans="1:12" x14ac:dyDescent="0.25">
      <c r="A21" s="23" t="s">
        <v>13</v>
      </c>
      <c r="B21" s="23">
        <f>Gentacalc!C16/100</f>
        <v>0</v>
      </c>
      <c r="C21" s="23"/>
    </row>
    <row r="22" spans="1:12" x14ac:dyDescent="0.25">
      <c r="A22" s="23" t="s">
        <v>12</v>
      </c>
      <c r="B22" s="23" t="str">
        <f>IFERROR(B20/(B21*B21),"")</f>
        <v/>
      </c>
      <c r="C22" s="23"/>
    </row>
    <row r="25" spans="1:12" x14ac:dyDescent="0.25">
      <c r="A25" s="19" t="s">
        <v>14</v>
      </c>
      <c r="B25" s="19"/>
      <c r="I25" s="43"/>
      <c r="K25" s="43"/>
    </row>
    <row r="26" spans="1:12" x14ac:dyDescent="0.25">
      <c r="A26" s="19" t="s">
        <v>10</v>
      </c>
      <c r="B26" s="19">
        <f>50+(0.9*(Gentacalc!$C$16-152))</f>
        <v>-86.800000000000011</v>
      </c>
    </row>
    <row r="27" spans="1:12" x14ac:dyDescent="0.25">
      <c r="A27" s="19" t="s">
        <v>11</v>
      </c>
      <c r="B27" s="19">
        <f>45.5+(0.9*(Gentacalc!$C$16-152))</f>
        <v>-91.300000000000011</v>
      </c>
    </row>
    <row r="29" spans="1:12" x14ac:dyDescent="0.25">
      <c r="A29" s="27" t="s">
        <v>17</v>
      </c>
      <c r="B29" s="27"/>
      <c r="C29" s="27"/>
      <c r="E29" s="20" t="s">
        <v>29</v>
      </c>
      <c r="F29" s="20">
        <f>IF(Gentacalc!C43&gt;59,3,(IF(AND(Gentacalc!C43&gt;=40,(Gentacalc!C43&lt;60)),2,1)))</f>
        <v>3</v>
      </c>
      <c r="G29" s="20"/>
      <c r="L29">
        <f>IF(ISBLANK((Gentacalc!C14)*ISBLANK(Gentacalc!C15)*ISBLANK(Gentacalc!C16)),"",IF(Gentacalc!C15&lt;(Gentacalc!C32*1.2),((140-(Gentacalc!$C$14))*(Gentacalc!$C$15))/(0.814*(Gentacalc!$C$18)),666))</f>
        <v>666</v>
      </c>
    </row>
    <row r="30" spans="1:12" x14ac:dyDescent="0.25">
      <c r="A30" s="27" t="s">
        <v>18</v>
      </c>
      <c r="B30" s="131" t="e">
        <f>IF(ISBLANK((Gentacalc!C14)*ISBLANK(Gentacalc!C15)*ISBLANK(Gentacalc!C16)),"",((140-(Gentacalc!$C$14))*(Gentacalc!$C$39))/(0.814*(Gentacalc!$C$18)))</f>
        <v>#VALUE!</v>
      </c>
      <c r="C30" s="27"/>
      <c r="E30" s="20" t="s">
        <v>32</v>
      </c>
      <c r="F30" s="20">
        <v>1</v>
      </c>
      <c r="G30" s="20"/>
    </row>
    <row r="31" spans="1:12" x14ac:dyDescent="0.25">
      <c r="A31" s="27" t="s">
        <v>19</v>
      </c>
      <c r="B31" s="131" t="e">
        <f>ROUNDDOWN((IFERROR(B30*1,"")),0)</f>
        <v>#VALUE!</v>
      </c>
      <c r="C31" s="27"/>
      <c r="E31" s="20" t="s">
        <v>31</v>
      </c>
      <c r="F31" s="20">
        <v>2</v>
      </c>
      <c r="G31" s="20"/>
    </row>
    <row r="32" spans="1:12" x14ac:dyDescent="0.25">
      <c r="A32" s="27" t="s">
        <v>20</v>
      </c>
      <c r="B32" s="131" t="e">
        <f>ROUNDDOWN((IFERROR(B30*(0.85),"")),0)</f>
        <v>#VALUE!</v>
      </c>
      <c r="C32" s="27"/>
      <c r="E32" s="20" t="s">
        <v>30</v>
      </c>
      <c r="F32" s="20">
        <v>3</v>
      </c>
      <c r="G32" s="20"/>
    </row>
    <row r="34" spans="1:7" x14ac:dyDescent="0.25">
      <c r="A34" s="27" t="s">
        <v>35</v>
      </c>
      <c r="B34" s="27"/>
      <c r="C34" s="27"/>
    </row>
    <row r="35" spans="1:7" x14ac:dyDescent="0.25">
      <c r="A35" s="27" t="s">
        <v>38</v>
      </c>
      <c r="B35" s="27"/>
      <c r="C35" s="27">
        <f>((Gentacalc!$C$19)-12)+(C36)</f>
        <v>12</v>
      </c>
    </row>
    <row r="36" spans="1:7" x14ac:dyDescent="0.25">
      <c r="A36" s="27" t="s">
        <v>39</v>
      </c>
      <c r="B36" s="27"/>
      <c r="C36" s="27">
        <f>IF(Gentacalc!$C$19&lt;12,24,0)</f>
        <v>24</v>
      </c>
    </row>
    <row r="37" spans="1:7" x14ac:dyDescent="0.25">
      <c r="A37" s="27" t="s">
        <v>40</v>
      </c>
      <c r="B37" s="27"/>
      <c r="C37" s="38">
        <f>IF(C35&gt;3,C35*(0.04167),0)</f>
        <v>0.50004000000000004</v>
      </c>
    </row>
    <row r="38" spans="1:7" x14ac:dyDescent="0.25">
      <c r="A38" s="27" t="s">
        <v>41</v>
      </c>
      <c r="B38" s="27"/>
      <c r="C38" s="27">
        <f>IF(C35&gt;19,0,1)</f>
        <v>1</v>
      </c>
    </row>
    <row r="39" spans="1:7" x14ac:dyDescent="0.25">
      <c r="A39" s="27" t="s">
        <v>33</v>
      </c>
      <c r="B39" s="27" t="s">
        <v>34</v>
      </c>
    </row>
    <row r="40" spans="1:7" x14ac:dyDescent="0.25">
      <c r="A40" s="27">
        <v>1</v>
      </c>
      <c r="B40" s="27">
        <f>B63-(1*0.04167)</f>
        <v>0.4582900000000002</v>
      </c>
    </row>
    <row r="41" spans="1:7" x14ac:dyDescent="0.25">
      <c r="A41" s="27">
        <v>2</v>
      </c>
      <c r="B41" s="27">
        <f t="shared" ref="B41:B46" si="0">B40-(1*0.04167)</f>
        <v>0.41662000000000021</v>
      </c>
    </row>
    <row r="42" spans="1:7" x14ac:dyDescent="0.25">
      <c r="A42" s="27">
        <v>3</v>
      </c>
      <c r="B42" s="27">
        <f t="shared" si="0"/>
        <v>0.37495000000000023</v>
      </c>
      <c r="E42" s="22" t="s">
        <v>36</v>
      </c>
      <c r="F42" s="22"/>
      <c r="G42" t="s">
        <v>37</v>
      </c>
    </row>
    <row r="43" spans="1:7" x14ac:dyDescent="0.25">
      <c r="A43" s="27">
        <v>4</v>
      </c>
      <c r="B43" s="27">
        <f t="shared" si="0"/>
        <v>0.33328000000000024</v>
      </c>
      <c r="E43" t="s">
        <v>42</v>
      </c>
      <c r="F43" t="e">
        <f>IF(NOT('Ark2'!F29=1),(Gentacalc!C17*Gentacalc!C34),"*")</f>
        <v>#VALUE!</v>
      </c>
      <c r="G43" t="e">
        <f>IF(F43="*","*",IF(F43&gt;600,600,MROUND(F43,40)))</f>
        <v>#VALUE!</v>
      </c>
    </row>
    <row r="44" spans="1:7" x14ac:dyDescent="0.25">
      <c r="A44" s="27">
        <v>5</v>
      </c>
      <c r="B44" s="27">
        <f t="shared" si="0"/>
        <v>0.29161000000000026</v>
      </c>
      <c r="E44" t="s">
        <v>43</v>
      </c>
      <c r="F44" s="37" t="e">
        <f>IF(F29=1,("*"),IF(F29=3,(F48)*((1-(1*C37)))*(C38),G43))</f>
        <v>#VALUE!</v>
      </c>
      <c r="G44" t="e">
        <f>IF(F44="*","*",IF(F44&gt;600,600,MROUND(F44,40)))</f>
        <v>#VALUE!</v>
      </c>
    </row>
    <row r="45" spans="1:7" x14ac:dyDescent="0.25">
      <c r="A45" s="27">
        <v>6</v>
      </c>
      <c r="B45" s="27">
        <f t="shared" si="0"/>
        <v>0.24994000000000027</v>
      </c>
      <c r="E45" t="s">
        <v>44</v>
      </c>
      <c r="F45" t="e">
        <f>IF(F29=3,(Gentacalc!C17*Gentacalc!C34),"*")</f>
        <v>#VALUE!</v>
      </c>
      <c r="G45" t="e">
        <f>IF(F45="*","*",IF(F43&gt;600,600,MROUND(F45,40)))</f>
        <v>#VALUE!</v>
      </c>
    </row>
    <row r="46" spans="1:7" x14ac:dyDescent="0.25">
      <c r="A46" s="27">
        <v>7</v>
      </c>
      <c r="B46" s="27">
        <f t="shared" si="0"/>
        <v>0.20827000000000029</v>
      </c>
    </row>
    <row r="47" spans="1:7" x14ac:dyDescent="0.25">
      <c r="A47" s="27">
        <v>8</v>
      </c>
      <c r="B47" s="27">
        <v>0</v>
      </c>
    </row>
    <row r="48" spans="1:7" x14ac:dyDescent="0.25">
      <c r="A48" s="27">
        <v>9</v>
      </c>
      <c r="B48" s="27">
        <v>0</v>
      </c>
      <c r="E48" t="s">
        <v>102</v>
      </c>
      <c r="F48" t="e">
        <f>IF(F43&gt;599,600,Gentacalc!C17*Gentacalc!C34)</f>
        <v>#VALUE!</v>
      </c>
    </row>
    <row r="49" spans="1:9" x14ac:dyDescent="0.25">
      <c r="A49" s="27">
        <v>10</v>
      </c>
      <c r="B49" s="27">
        <v>0</v>
      </c>
    </row>
    <row r="50" spans="1:9" x14ac:dyDescent="0.25">
      <c r="A50" s="27">
        <v>11</v>
      </c>
      <c r="B50" s="27">
        <v>0</v>
      </c>
    </row>
    <row r="51" spans="1:9" x14ac:dyDescent="0.25">
      <c r="A51" s="27">
        <v>12</v>
      </c>
      <c r="B51" s="27">
        <v>100</v>
      </c>
    </row>
    <row r="52" spans="1:9" x14ac:dyDescent="0.25">
      <c r="A52" s="27">
        <v>13</v>
      </c>
      <c r="B52" s="27">
        <f>1-(1*0.04167)</f>
        <v>0.95833000000000002</v>
      </c>
    </row>
    <row r="53" spans="1:9" x14ac:dyDescent="0.25">
      <c r="A53" s="27">
        <v>14</v>
      </c>
      <c r="B53" s="27">
        <f t="shared" ref="B53:B63" si="1">B52-(1*0.04167)</f>
        <v>0.91666000000000003</v>
      </c>
    </row>
    <row r="54" spans="1:9" x14ac:dyDescent="0.25">
      <c r="A54" s="27">
        <v>15</v>
      </c>
      <c r="B54" s="27">
        <f t="shared" si="1"/>
        <v>0.87499000000000005</v>
      </c>
    </row>
    <row r="55" spans="1:9" x14ac:dyDescent="0.25">
      <c r="A55" s="27">
        <v>16</v>
      </c>
      <c r="B55" s="27">
        <f t="shared" si="1"/>
        <v>0.83332000000000006</v>
      </c>
    </row>
    <row r="56" spans="1:9" x14ac:dyDescent="0.25">
      <c r="A56" s="27">
        <v>17</v>
      </c>
      <c r="B56" s="27">
        <f t="shared" si="1"/>
        <v>0.79165000000000008</v>
      </c>
      <c r="I56" t="e">
        <f>IF(ISBLANK((Gentacalc!C14)*ISBLANK(Gentacalc!C15)*ISBLANK(Gentacalc!C16)),"",((140-(Gentacalc!$C$14))*(Gentacalc!$C$39))/(0.814*(Gentacalc!$C$18)))</f>
        <v>#VALUE!</v>
      </c>
    </row>
    <row r="57" spans="1:9" x14ac:dyDescent="0.25">
      <c r="A57" s="27">
        <v>18</v>
      </c>
      <c r="B57" s="27">
        <f t="shared" si="1"/>
        <v>0.74998000000000009</v>
      </c>
    </row>
    <row r="58" spans="1:9" x14ac:dyDescent="0.25">
      <c r="A58" s="27">
        <v>19</v>
      </c>
      <c r="B58" s="27">
        <f t="shared" si="1"/>
        <v>0.70831000000000011</v>
      </c>
    </row>
    <row r="59" spans="1:9" x14ac:dyDescent="0.25">
      <c r="A59" s="27">
        <v>20</v>
      </c>
      <c r="B59" s="27">
        <f t="shared" si="1"/>
        <v>0.66664000000000012</v>
      </c>
    </row>
    <row r="60" spans="1:9" x14ac:dyDescent="0.25">
      <c r="A60" s="27">
        <v>21</v>
      </c>
      <c r="B60" s="27">
        <f t="shared" si="1"/>
        <v>0.62497000000000014</v>
      </c>
    </row>
    <row r="61" spans="1:9" x14ac:dyDescent="0.25">
      <c r="A61" s="27">
        <v>22</v>
      </c>
      <c r="B61" s="27">
        <f t="shared" si="1"/>
        <v>0.58330000000000015</v>
      </c>
    </row>
    <row r="62" spans="1:9" x14ac:dyDescent="0.25">
      <c r="A62" s="27">
        <v>23</v>
      </c>
      <c r="B62" s="27">
        <f t="shared" si="1"/>
        <v>0.54163000000000017</v>
      </c>
    </row>
    <row r="63" spans="1:9" x14ac:dyDescent="0.25">
      <c r="A63" s="27">
        <v>24</v>
      </c>
      <c r="B63" s="27">
        <f t="shared" si="1"/>
        <v>0.49996000000000018</v>
      </c>
    </row>
    <row r="67" spans="5:5" x14ac:dyDescent="0.25">
      <c r="E67" s="41"/>
    </row>
  </sheetData>
  <sheetProtection algorithmName="SHA-512" hashValue="9yDYkn3lz7m4/y6wBMz5SAilxIWHIdi0qs9K2jJ8N8kugH5oiPJGCWgcTomFfvNMpxF2ZTjM9aO217ZzAL+6Ig==" saltValue="nB7kAV1iSRKDLQ5dOs4LLQ==" spinCount="100000" sheet="1" objects="1" scenarios="1" selectLockedCells="1" selectUnlockedCells="1"/>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4"/>
  <dimension ref="A1:L40"/>
  <sheetViews>
    <sheetView showGridLines="0" workbookViewId="0">
      <selection activeCell="G34" sqref="G34"/>
    </sheetView>
  </sheetViews>
  <sheetFormatPr baseColWidth="10" defaultColWidth="11.42578125" defaultRowHeight="15" x14ac:dyDescent="0.25"/>
  <cols>
    <col min="1" max="1" width="4" customWidth="1"/>
    <col min="2" max="2" width="3.5703125" customWidth="1"/>
    <col min="3" max="3" width="22.140625" customWidth="1"/>
    <col min="4" max="4" width="36.28515625" customWidth="1"/>
    <col min="5" max="5" width="16.42578125" customWidth="1"/>
    <col min="6" max="6" width="36.7109375" customWidth="1"/>
    <col min="7" max="7" width="12.7109375" customWidth="1"/>
    <col min="8" max="8" width="41.5703125" customWidth="1"/>
    <col min="11" max="11" width="16.5703125" customWidth="1"/>
    <col min="12" max="12" width="27.140625" customWidth="1"/>
  </cols>
  <sheetData>
    <row r="1" spans="1:12" ht="26.25" x14ac:dyDescent="0.4">
      <c r="A1" s="59" t="s">
        <v>75</v>
      </c>
    </row>
    <row r="3" spans="1:12" ht="15.75" x14ac:dyDescent="0.25">
      <c r="A3" s="82" t="s">
        <v>76</v>
      </c>
    </row>
    <row r="4" spans="1:12" ht="18.75" x14ac:dyDescent="0.3">
      <c r="A4" s="58"/>
    </row>
    <row r="5" spans="1:12" ht="15.75" x14ac:dyDescent="0.25">
      <c r="A5" t="s">
        <v>77</v>
      </c>
      <c r="B5" s="6" t="s">
        <v>151</v>
      </c>
      <c r="C5" s="6"/>
      <c r="D5" s="6"/>
      <c r="E5" s="75" t="s">
        <v>114</v>
      </c>
    </row>
    <row r="6" spans="1:12" x14ac:dyDescent="0.25">
      <c r="B6" t="s">
        <v>78</v>
      </c>
      <c r="C6" s="140" t="s">
        <v>215</v>
      </c>
      <c r="D6" s="140"/>
    </row>
    <row r="7" spans="1:12" x14ac:dyDescent="0.25">
      <c r="B7" t="s">
        <v>79</v>
      </c>
      <c r="C7" s="140" t="s">
        <v>80</v>
      </c>
      <c r="D7" s="140"/>
    </row>
    <row r="8" spans="1:12" x14ac:dyDescent="0.25">
      <c r="B8" t="s">
        <v>81</v>
      </c>
      <c r="C8" s="145" t="s">
        <v>152</v>
      </c>
      <c r="D8" s="145"/>
    </row>
    <row r="10" spans="1:12" ht="15.75" x14ac:dyDescent="0.25">
      <c r="C10" s="112" t="s">
        <v>82</v>
      </c>
    </row>
    <row r="11" spans="1:12" ht="15.75" x14ac:dyDescent="0.25">
      <c r="C11" s="112"/>
    </row>
    <row r="12" spans="1:12" ht="16.5" thickBot="1" x14ac:dyDescent="0.3">
      <c r="C12" s="68"/>
    </row>
    <row r="13" spans="1:12" x14ac:dyDescent="0.25">
      <c r="A13" t="s">
        <v>83</v>
      </c>
      <c r="B13" s="6" t="s">
        <v>216</v>
      </c>
      <c r="C13" s="6"/>
      <c r="D13" s="6"/>
      <c r="H13" s="158" t="s">
        <v>189</v>
      </c>
      <c r="I13" s="159"/>
      <c r="J13" s="159"/>
      <c r="K13" s="159"/>
      <c r="L13" s="160"/>
    </row>
    <row r="14" spans="1:12" ht="16.5" thickBot="1" x14ac:dyDescent="0.3">
      <c r="B14" t="s">
        <v>84</v>
      </c>
      <c r="C14" t="s">
        <v>85</v>
      </c>
      <c r="E14" s="75" t="s">
        <v>217</v>
      </c>
      <c r="H14" s="161"/>
      <c r="I14" s="162"/>
      <c r="J14" s="162"/>
      <c r="K14" s="162"/>
      <c r="L14" s="163"/>
    </row>
    <row r="15" spans="1:12" ht="15.75" thickBot="1" x14ac:dyDescent="0.3">
      <c r="B15" t="s">
        <v>84</v>
      </c>
      <c r="C15" t="s">
        <v>103</v>
      </c>
      <c r="H15" s="164" t="s">
        <v>87</v>
      </c>
      <c r="I15" s="165"/>
      <c r="J15" s="166" t="s">
        <v>93</v>
      </c>
      <c r="K15" s="167"/>
      <c r="L15" s="168"/>
    </row>
    <row r="16" spans="1:12" x14ac:dyDescent="0.25">
      <c r="B16" t="s">
        <v>104</v>
      </c>
      <c r="C16" t="s">
        <v>105</v>
      </c>
      <c r="H16" s="70" t="s">
        <v>88</v>
      </c>
      <c r="I16" s="71"/>
      <c r="J16" s="76" t="s">
        <v>55</v>
      </c>
      <c r="K16" s="80"/>
      <c r="L16" s="81"/>
    </row>
    <row r="17" spans="1:12" x14ac:dyDescent="0.25">
      <c r="B17" t="s">
        <v>84</v>
      </c>
      <c r="C17" t="s">
        <v>86</v>
      </c>
      <c r="H17" s="141" t="s">
        <v>89</v>
      </c>
      <c r="I17" s="142"/>
      <c r="J17" s="66" t="s">
        <v>94</v>
      </c>
      <c r="L17" s="72"/>
    </row>
    <row r="18" spans="1:12" x14ac:dyDescent="0.25">
      <c r="H18" s="141" t="s">
        <v>90</v>
      </c>
      <c r="I18" s="142"/>
      <c r="J18" s="141" t="s">
        <v>106</v>
      </c>
      <c r="K18" s="140"/>
      <c r="L18" s="142"/>
    </row>
    <row r="19" spans="1:12" ht="15" customHeight="1" x14ac:dyDescent="0.25">
      <c r="C19" s="113" t="s">
        <v>218</v>
      </c>
      <c r="H19" s="141" t="s">
        <v>56</v>
      </c>
      <c r="I19" s="142"/>
      <c r="J19" s="141" t="s">
        <v>95</v>
      </c>
      <c r="K19" s="140"/>
      <c r="L19" s="142"/>
    </row>
    <row r="20" spans="1:12" ht="16.5" customHeight="1" x14ac:dyDescent="0.25">
      <c r="B20" s="133"/>
      <c r="C20" s="133"/>
      <c r="D20" s="133"/>
      <c r="H20" s="141" t="s">
        <v>91</v>
      </c>
      <c r="I20" s="142"/>
      <c r="J20" s="141" t="s">
        <v>96</v>
      </c>
      <c r="K20" s="140"/>
      <c r="L20" s="142"/>
    </row>
    <row r="21" spans="1:12" ht="18.75" customHeight="1" x14ac:dyDescent="0.25">
      <c r="B21" s="107"/>
      <c r="C21" s="107"/>
      <c r="D21" s="107"/>
      <c r="H21" s="141" t="s">
        <v>92</v>
      </c>
      <c r="I21" s="142"/>
      <c r="J21" s="66" t="s">
        <v>153</v>
      </c>
      <c r="L21" s="72"/>
    </row>
    <row r="22" spans="1:12" ht="18.75" customHeight="1" thickBot="1" x14ac:dyDescent="0.3">
      <c r="A22" t="s">
        <v>108</v>
      </c>
      <c r="B22" s="107" t="s">
        <v>107</v>
      </c>
      <c r="C22" s="107"/>
      <c r="D22" s="107"/>
      <c r="H22" s="143" t="s">
        <v>101</v>
      </c>
      <c r="I22" s="144"/>
      <c r="J22" s="66"/>
      <c r="L22" s="72"/>
    </row>
    <row r="23" spans="1:12" ht="15.75" customHeight="1" thickBot="1" x14ac:dyDescent="0.3">
      <c r="H23" s="5" t="s">
        <v>97</v>
      </c>
      <c r="I23" s="4"/>
      <c r="J23" s="152" t="s">
        <v>154</v>
      </c>
      <c r="K23" s="153"/>
      <c r="L23" s="154"/>
    </row>
    <row r="24" spans="1:12" ht="15.75" thickBot="1" x14ac:dyDescent="0.3">
      <c r="C24" s="57" t="s">
        <v>109</v>
      </c>
      <c r="D24" s="57" t="s">
        <v>53</v>
      </c>
      <c r="E24" s="105" t="s">
        <v>220</v>
      </c>
      <c r="F24" s="74"/>
      <c r="H24" s="3"/>
      <c r="I24" s="2"/>
      <c r="J24" s="155"/>
      <c r="K24" s="156"/>
      <c r="L24" s="157"/>
    </row>
    <row r="25" spans="1:12" ht="15" customHeight="1" thickBot="1" x14ac:dyDescent="0.3">
      <c r="C25" s="77" t="s">
        <v>219</v>
      </c>
      <c r="D25" s="77" t="s">
        <v>111</v>
      </c>
      <c r="E25" s="134" t="s">
        <v>232</v>
      </c>
      <c r="F25" s="135"/>
      <c r="H25" s="73" t="s">
        <v>98</v>
      </c>
      <c r="I25" s="108"/>
      <c r="J25" s="73"/>
      <c r="K25" s="69"/>
      <c r="L25" s="108"/>
    </row>
    <row r="26" spans="1:12" x14ac:dyDescent="0.25">
      <c r="C26" s="78"/>
      <c r="D26" s="78"/>
      <c r="E26" s="136"/>
      <c r="F26" s="137"/>
    </row>
    <row r="27" spans="1:12" x14ac:dyDescent="0.25">
      <c r="C27" s="78"/>
      <c r="D27" s="78"/>
      <c r="E27" s="136"/>
      <c r="F27" s="137"/>
    </row>
    <row r="28" spans="1:12" ht="91.9" customHeight="1" thickBot="1" x14ac:dyDescent="0.3">
      <c r="C28" s="79"/>
      <c r="D28" s="79"/>
      <c r="E28" s="138"/>
      <c r="F28" s="139"/>
    </row>
    <row r="29" spans="1:12" ht="15" customHeight="1" x14ac:dyDescent="0.25">
      <c r="C29" s="77" t="s">
        <v>221</v>
      </c>
      <c r="D29" s="77" t="s">
        <v>47</v>
      </c>
      <c r="E29" s="5" t="s">
        <v>233</v>
      </c>
      <c r="F29" s="4"/>
      <c r="G29" s="41"/>
    </row>
    <row r="30" spans="1:12" x14ac:dyDescent="0.25">
      <c r="C30" s="78"/>
      <c r="D30" s="78"/>
      <c r="E30" s="3"/>
      <c r="F30" s="2"/>
      <c r="G30" s="41"/>
    </row>
    <row r="31" spans="1:12" x14ac:dyDescent="0.25">
      <c r="C31" s="78"/>
      <c r="D31" s="78"/>
      <c r="E31" s="3"/>
      <c r="F31" s="2"/>
      <c r="G31" s="41"/>
    </row>
    <row r="32" spans="1:12" x14ac:dyDescent="0.25">
      <c r="C32" s="78"/>
      <c r="D32" s="78"/>
      <c r="E32" s="3"/>
      <c r="F32" s="2"/>
      <c r="G32" s="41"/>
    </row>
    <row r="33" spans="3:7" x14ac:dyDescent="0.25">
      <c r="C33" s="78"/>
      <c r="D33" s="78"/>
      <c r="E33" s="3"/>
      <c r="F33" s="2"/>
      <c r="G33" s="41"/>
    </row>
    <row r="34" spans="3:7" ht="55.9" customHeight="1" thickBot="1" x14ac:dyDescent="0.3">
      <c r="C34" s="79"/>
      <c r="D34" s="79"/>
      <c r="E34" s="1"/>
      <c r="F34" s="132"/>
      <c r="G34" s="41"/>
    </row>
    <row r="35" spans="3:7" ht="15" customHeight="1" x14ac:dyDescent="0.25">
      <c r="C35" s="77" t="s">
        <v>110</v>
      </c>
      <c r="D35" s="77" t="s">
        <v>112</v>
      </c>
      <c r="E35" s="146" t="s">
        <v>113</v>
      </c>
      <c r="F35" s="147"/>
    </row>
    <row r="36" spans="3:7" x14ac:dyDescent="0.25">
      <c r="C36" s="78"/>
      <c r="D36" s="78"/>
      <c r="E36" s="148"/>
      <c r="F36" s="149"/>
    </row>
    <row r="37" spans="3:7" x14ac:dyDescent="0.25">
      <c r="C37" s="78"/>
      <c r="D37" s="78"/>
      <c r="E37" s="148"/>
      <c r="F37" s="149"/>
    </row>
    <row r="38" spans="3:7" ht="15" customHeight="1" x14ac:dyDescent="0.25">
      <c r="C38" s="78"/>
      <c r="D38" s="78"/>
      <c r="E38" s="148"/>
      <c r="F38" s="149"/>
    </row>
    <row r="39" spans="3:7" x14ac:dyDescent="0.25">
      <c r="C39" s="78"/>
      <c r="D39" s="78"/>
      <c r="E39" s="148"/>
      <c r="F39" s="149"/>
    </row>
    <row r="40" spans="3:7" ht="15.75" thickBot="1" x14ac:dyDescent="0.3">
      <c r="C40" s="79"/>
      <c r="D40" s="79"/>
      <c r="E40" s="150"/>
      <c r="F40" s="151"/>
    </row>
  </sheetData>
  <sheetProtection algorithmName="SHA-512" hashValue="sKge9GqVteRDQGY2cSzyuLpEk9VEVTCaXysQzjfDeH34A++8dQP228InxBVeqz/6lGH3Webvtk/V/7TkwElXTA==" saltValue="Wjfq7c8YoiHlpwvYbopzrg==" spinCount="100000" sheet="1" objects="1" scenarios="1" selectLockedCells="1" selectUnlockedCells="1"/>
  <mergeCells count="23">
    <mergeCell ref="H21:I21"/>
    <mergeCell ref="H22:I22"/>
    <mergeCell ref="C8:D8"/>
    <mergeCell ref="E35:F40"/>
    <mergeCell ref="J23:L24"/>
    <mergeCell ref="H23:I24"/>
    <mergeCell ref="H17:I17"/>
    <mergeCell ref="H18:I18"/>
    <mergeCell ref="H19:I19"/>
    <mergeCell ref="H20:I20"/>
    <mergeCell ref="J18:L18"/>
    <mergeCell ref="J19:L19"/>
    <mergeCell ref="J20:L20"/>
    <mergeCell ref="H13:L14"/>
    <mergeCell ref="H15:I15"/>
    <mergeCell ref="J15:L15"/>
    <mergeCell ref="B5:D5"/>
    <mergeCell ref="B13:D13"/>
    <mergeCell ref="E29:F34"/>
    <mergeCell ref="B20:D20"/>
    <mergeCell ref="E25:F28"/>
    <mergeCell ref="C6:D6"/>
    <mergeCell ref="C7:D7"/>
  </mergeCell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6"/>
  <dimension ref="A1:J48"/>
  <sheetViews>
    <sheetView showGridLines="0" workbookViewId="0">
      <selection activeCell="G17" sqref="G17"/>
    </sheetView>
  </sheetViews>
  <sheetFormatPr baseColWidth="10" defaultColWidth="11.42578125" defaultRowHeight="15" x14ac:dyDescent="0.25"/>
  <cols>
    <col min="1" max="1" width="3.140625" customWidth="1"/>
    <col min="2" max="2" width="26" customWidth="1"/>
    <col min="3" max="3" width="24.85546875" customWidth="1"/>
    <col min="4" max="4" width="60.5703125" customWidth="1"/>
    <col min="12" max="12" width="17.28515625" customWidth="1"/>
    <col min="13" max="13" width="24.85546875" customWidth="1"/>
    <col min="14" max="14" width="47.28515625" customWidth="1"/>
  </cols>
  <sheetData>
    <row r="1" spans="1:10" ht="26.25" x14ac:dyDescent="0.4">
      <c r="A1" s="59" t="s">
        <v>155</v>
      </c>
      <c r="B1" s="59"/>
      <c r="C1" s="59"/>
      <c r="D1" s="59"/>
      <c r="E1" s="59"/>
      <c r="F1" s="59"/>
      <c r="G1" s="59"/>
    </row>
    <row r="2" spans="1:10" ht="15.75" x14ac:dyDescent="0.25">
      <c r="B2" s="169"/>
      <c r="C2" s="169"/>
      <c r="D2" s="169"/>
      <c r="E2" s="169"/>
      <c r="F2" s="169"/>
      <c r="G2" s="169"/>
    </row>
    <row r="3" spans="1:10" ht="15.75" x14ac:dyDescent="0.25">
      <c r="B3" s="83"/>
      <c r="C3" s="82"/>
      <c r="D3" s="82"/>
      <c r="E3" s="82"/>
      <c r="F3" s="82"/>
      <c r="G3" s="82"/>
    </row>
    <row r="4" spans="1:10" ht="15.75" x14ac:dyDescent="0.25">
      <c r="C4" s="82"/>
      <c r="D4" s="82"/>
      <c r="E4" s="82"/>
      <c r="F4" s="82"/>
      <c r="G4" s="82"/>
    </row>
    <row r="5" spans="1:10" ht="18.75" x14ac:dyDescent="0.3">
      <c r="B5" s="58" t="s">
        <v>147</v>
      </c>
    </row>
    <row r="6" spans="1:10" ht="15.75" thickBot="1" x14ac:dyDescent="0.3"/>
    <row r="7" spans="1:10" ht="15.75" thickBot="1" x14ac:dyDescent="0.3">
      <c r="B7" s="57" t="s">
        <v>54</v>
      </c>
      <c r="C7" s="57" t="s">
        <v>53</v>
      </c>
      <c r="D7" s="56" t="s">
        <v>52</v>
      </c>
    </row>
    <row r="8" spans="1:10" x14ac:dyDescent="0.25">
      <c r="B8" s="170" t="s">
        <v>51</v>
      </c>
      <c r="C8" s="173" t="s">
        <v>222</v>
      </c>
      <c r="D8" s="175" t="s">
        <v>224</v>
      </c>
    </row>
    <row r="9" spans="1:10" ht="76.900000000000006" customHeight="1" thickBot="1" x14ac:dyDescent="0.3">
      <c r="B9" s="171"/>
      <c r="C9" s="174"/>
      <c r="D9" s="176"/>
    </row>
    <row r="10" spans="1:10" x14ac:dyDescent="0.25">
      <c r="B10" s="170" t="s">
        <v>50</v>
      </c>
      <c r="C10" s="170" t="s">
        <v>223</v>
      </c>
      <c r="D10" s="177" t="s">
        <v>49</v>
      </c>
    </row>
    <row r="11" spans="1:10" ht="15.75" thickBot="1" x14ac:dyDescent="0.3">
      <c r="B11" s="171"/>
      <c r="C11" s="171"/>
      <c r="D11" s="178"/>
    </row>
    <row r="12" spans="1:10" ht="45.75" thickBot="1" x14ac:dyDescent="0.3">
      <c r="B12" s="55" t="s">
        <v>48</v>
      </c>
      <c r="C12" s="104" t="s">
        <v>225</v>
      </c>
      <c r="D12" s="126" t="s">
        <v>226</v>
      </c>
    </row>
    <row r="14" spans="1:10" x14ac:dyDescent="0.25">
      <c r="B14" s="179" t="s">
        <v>228</v>
      </c>
      <c r="C14" s="180"/>
      <c r="D14" s="180"/>
    </row>
    <row r="15" spans="1:10" x14ac:dyDescent="0.25">
      <c r="B15" s="181" t="s">
        <v>227</v>
      </c>
      <c r="C15" s="182"/>
      <c r="D15" s="182"/>
    </row>
    <row r="16" spans="1:10" ht="18.75" x14ac:dyDescent="0.3">
      <c r="B16" s="58"/>
      <c r="E16" s="101"/>
      <c r="F16" s="101"/>
      <c r="G16" s="101"/>
      <c r="H16" s="101"/>
      <c r="I16" s="101"/>
      <c r="J16" s="101"/>
    </row>
    <row r="17" spans="2:4" ht="15.75" x14ac:dyDescent="0.25">
      <c r="B17" s="172" t="s">
        <v>115</v>
      </c>
      <c r="C17" s="172"/>
      <c r="D17" s="172"/>
    </row>
    <row r="41" spans="1:10" ht="15.75" x14ac:dyDescent="0.25">
      <c r="A41" s="172" t="s">
        <v>116</v>
      </c>
      <c r="B41" s="172"/>
      <c r="C41" s="172"/>
      <c r="D41" s="172"/>
      <c r="E41" s="172"/>
    </row>
    <row r="48" spans="1:10" ht="15.75" x14ac:dyDescent="0.25">
      <c r="F48" s="101"/>
      <c r="G48" s="101"/>
      <c r="H48" s="101"/>
      <c r="I48" s="101"/>
      <c r="J48" s="101"/>
    </row>
  </sheetData>
  <sheetProtection algorithmName="SHA-512" hashValue="cK3s7XKwBSFaMLv5/hKfTrccvtaJzrJb5MKPPZdKSmkphYSVMzuMRwbrtZba+g1Kvb6i6j1p6Rztfg5G+bt8/Q==" saltValue="76m9AmxqVhyMnTdVJYiHtQ==" spinCount="100000" sheet="1" objects="1" scenarios="1" selectLockedCells="1" selectUnlockedCells="1"/>
  <mergeCells count="11">
    <mergeCell ref="B2:G2"/>
    <mergeCell ref="B8:B9"/>
    <mergeCell ref="B17:D17"/>
    <mergeCell ref="A41:E41"/>
    <mergeCell ref="C8:C9"/>
    <mergeCell ref="D8:D9"/>
    <mergeCell ref="B10:B11"/>
    <mergeCell ref="C10:C11"/>
    <mergeCell ref="D10:D11"/>
    <mergeCell ref="B14:D14"/>
    <mergeCell ref="B15:D15"/>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8"/>
  <dimension ref="A1:L119"/>
  <sheetViews>
    <sheetView workbookViewId="0">
      <selection activeCell="C19" sqref="C19"/>
    </sheetView>
  </sheetViews>
  <sheetFormatPr baseColWidth="10" defaultColWidth="11.42578125" defaultRowHeight="15" x14ac:dyDescent="0.25"/>
  <cols>
    <col min="1" max="1" width="11.42578125" style="67"/>
    <col min="2" max="2" width="44.28515625" style="67" customWidth="1"/>
    <col min="3" max="3" width="43" style="67" customWidth="1"/>
    <col min="4" max="4" width="18.42578125" style="67" customWidth="1"/>
    <col min="5" max="5" width="23.85546875" style="67" customWidth="1"/>
    <col min="6" max="6" width="13.7109375" style="67" customWidth="1"/>
    <col min="7" max="7" width="23.28515625" style="67" customWidth="1"/>
    <col min="8" max="8" width="26.7109375" style="67" customWidth="1"/>
    <col min="9" max="9" width="19.140625" style="67" customWidth="1"/>
    <col min="10" max="10" width="2.7109375" style="67" customWidth="1"/>
    <col min="11" max="11" width="11.42578125" style="67" customWidth="1"/>
    <col min="12" max="12" width="18.42578125" style="67" customWidth="1"/>
    <col min="13" max="14" width="13.7109375" style="67" customWidth="1"/>
    <col min="15" max="15" width="15" style="67" customWidth="1"/>
    <col min="16" max="16" width="15.140625" style="67" customWidth="1"/>
    <col min="17" max="16384" width="11.42578125" style="67"/>
  </cols>
  <sheetData>
    <row r="1" spans="1:1" ht="31.5" x14ac:dyDescent="0.5">
      <c r="A1" s="84" t="s">
        <v>118</v>
      </c>
    </row>
    <row r="2" spans="1:1" ht="15.75" x14ac:dyDescent="0.25">
      <c r="A2" s="85" t="s">
        <v>119</v>
      </c>
    </row>
    <row r="3" spans="1:1" ht="17.45" customHeight="1" x14ac:dyDescent="0.5">
      <c r="A3" s="84"/>
    </row>
    <row r="4" spans="1:1" ht="22.5" customHeight="1" x14ac:dyDescent="0.5">
      <c r="A4" s="84"/>
    </row>
    <row r="5" spans="1:1" ht="22.5" customHeight="1" x14ac:dyDescent="0.5">
      <c r="A5" s="84"/>
    </row>
    <row r="6" spans="1:1" ht="16.5" customHeight="1" x14ac:dyDescent="0.5">
      <c r="A6" s="84"/>
    </row>
    <row r="7" spans="1:1" ht="16.5" customHeight="1" x14ac:dyDescent="0.5">
      <c r="A7" s="84"/>
    </row>
    <row r="8" spans="1:1" ht="16.5" customHeight="1" x14ac:dyDescent="0.5">
      <c r="A8" s="84"/>
    </row>
    <row r="10" spans="1:1" x14ac:dyDescent="0.25">
      <c r="A10" s="86" t="s">
        <v>120</v>
      </c>
    </row>
    <row r="11" spans="1:1" x14ac:dyDescent="0.25">
      <c r="A11" s="87" t="s">
        <v>144</v>
      </c>
    </row>
    <row r="12" spans="1:1" x14ac:dyDescent="0.25">
      <c r="A12" s="87" t="s">
        <v>145</v>
      </c>
    </row>
    <row r="13" spans="1:1" x14ac:dyDescent="0.25">
      <c r="A13" s="87"/>
    </row>
    <row r="14" spans="1:1" x14ac:dyDescent="0.25">
      <c r="A14" s="86" t="s">
        <v>121</v>
      </c>
    </row>
    <row r="15" spans="1:1" x14ac:dyDescent="0.25">
      <c r="A15" s="109" t="s">
        <v>159</v>
      </c>
    </row>
    <row r="16" spans="1:1" x14ac:dyDescent="0.25">
      <c r="A16" s="109" t="s">
        <v>160</v>
      </c>
    </row>
    <row r="17" spans="1:2" x14ac:dyDescent="0.25">
      <c r="A17" s="111" t="s">
        <v>162</v>
      </c>
    </row>
    <row r="18" spans="1:2" x14ac:dyDescent="0.25">
      <c r="A18" s="110" t="s">
        <v>157</v>
      </c>
    </row>
    <row r="19" spans="1:2" x14ac:dyDescent="0.25">
      <c r="A19" s="110" t="s">
        <v>158</v>
      </c>
    </row>
    <row r="20" spans="1:2" x14ac:dyDescent="0.25">
      <c r="A20" s="88" t="s">
        <v>161</v>
      </c>
    </row>
    <row r="21" spans="1:2" x14ac:dyDescent="0.25">
      <c r="A21" s="88"/>
    </row>
    <row r="22" spans="1:2" x14ac:dyDescent="0.25">
      <c r="A22" s="86" t="s">
        <v>122</v>
      </c>
    </row>
    <row r="23" spans="1:2" x14ac:dyDescent="0.25">
      <c r="A23" s="87" t="s">
        <v>123</v>
      </c>
    </row>
    <row r="24" spans="1:2" x14ac:dyDescent="0.25">
      <c r="A24" s="87"/>
    </row>
    <row r="25" spans="1:2" x14ac:dyDescent="0.25">
      <c r="A25" s="89" t="s">
        <v>124</v>
      </c>
    </row>
    <row r="26" spans="1:2" x14ac:dyDescent="0.25">
      <c r="A26" s="90" t="s">
        <v>125</v>
      </c>
    </row>
    <row r="27" spans="1:2" x14ac:dyDescent="0.25">
      <c r="A27" s="90" t="s">
        <v>126</v>
      </c>
    </row>
    <row r="28" spans="1:2" x14ac:dyDescent="0.25">
      <c r="A28" s="90" t="s">
        <v>190</v>
      </c>
    </row>
    <row r="29" spans="1:2" x14ac:dyDescent="0.25">
      <c r="A29" s="91"/>
      <c r="B29" s="67" t="s">
        <v>191</v>
      </c>
    </row>
    <row r="30" spans="1:2" x14ac:dyDescent="0.25">
      <c r="A30" s="91"/>
    </row>
    <row r="31" spans="1:2" x14ac:dyDescent="0.25">
      <c r="A31" s="89" t="s">
        <v>127</v>
      </c>
    </row>
    <row r="32" spans="1:2" x14ac:dyDescent="0.25">
      <c r="A32" s="90" t="s">
        <v>128</v>
      </c>
    </row>
    <row r="33" spans="1:2" x14ac:dyDescent="0.25">
      <c r="A33" s="92" t="s">
        <v>192</v>
      </c>
    </row>
    <row r="34" spans="1:2" x14ac:dyDescent="0.25">
      <c r="A34" s="92"/>
      <c r="B34" s="67" t="s">
        <v>193</v>
      </c>
    </row>
    <row r="35" spans="1:2" x14ac:dyDescent="0.25">
      <c r="A35" s="90" t="s">
        <v>129</v>
      </c>
    </row>
    <row r="36" spans="1:2" x14ac:dyDescent="0.25">
      <c r="A36" s="92" t="s">
        <v>130</v>
      </c>
    </row>
    <row r="37" spans="1:2" x14ac:dyDescent="0.25">
      <c r="A37" s="90" t="s">
        <v>131</v>
      </c>
    </row>
    <row r="38" spans="1:2" x14ac:dyDescent="0.25">
      <c r="A38" s="92" t="s">
        <v>132</v>
      </c>
    </row>
    <row r="39" spans="1:2" x14ac:dyDescent="0.25">
      <c r="A39" s="90" t="s">
        <v>133</v>
      </c>
    </row>
    <row r="40" spans="1:2" x14ac:dyDescent="0.25">
      <c r="A40" s="92" t="s">
        <v>163</v>
      </c>
    </row>
    <row r="41" spans="1:2" x14ac:dyDescent="0.25">
      <c r="A41" s="91"/>
    </row>
    <row r="42" spans="1:2" x14ac:dyDescent="0.25">
      <c r="A42" s="89" t="s">
        <v>134</v>
      </c>
    </row>
    <row r="43" spans="1:2" x14ac:dyDescent="0.25">
      <c r="A43" s="90" t="s">
        <v>164</v>
      </c>
    </row>
    <row r="44" spans="1:2" x14ac:dyDescent="0.25">
      <c r="A44" s="92" t="s">
        <v>194</v>
      </c>
    </row>
    <row r="45" spans="1:2" x14ac:dyDescent="0.25">
      <c r="A45" s="92"/>
      <c r="B45" s="67" t="s">
        <v>195</v>
      </c>
    </row>
    <row r="46" spans="1:2" x14ac:dyDescent="0.25">
      <c r="A46" s="90" t="s">
        <v>165</v>
      </c>
    </row>
    <row r="47" spans="1:2" x14ac:dyDescent="0.25">
      <c r="A47" s="92" t="s">
        <v>196</v>
      </c>
    </row>
    <row r="48" spans="1:2" x14ac:dyDescent="0.25">
      <c r="A48" s="92"/>
      <c r="B48" s="67" t="s">
        <v>197</v>
      </c>
    </row>
    <row r="49" spans="1:11" x14ac:dyDescent="0.25">
      <c r="A49" s="90" t="s">
        <v>166</v>
      </c>
    </row>
    <row r="50" spans="1:11" x14ac:dyDescent="0.25">
      <c r="A50" s="90" t="s">
        <v>167</v>
      </c>
    </row>
    <row r="51" spans="1:11" x14ac:dyDescent="0.25">
      <c r="A51" s="90" t="s">
        <v>168</v>
      </c>
    </row>
    <row r="52" spans="1:11" x14ac:dyDescent="0.25">
      <c r="A52" s="92" t="s">
        <v>170</v>
      </c>
    </row>
    <row r="53" spans="1:11" x14ac:dyDescent="0.25">
      <c r="A53" s="90" t="s">
        <v>169</v>
      </c>
    </row>
    <row r="54" spans="1:11" x14ac:dyDescent="0.25">
      <c r="A54" s="92" t="s">
        <v>171</v>
      </c>
    </row>
    <row r="55" spans="1:11" x14ac:dyDescent="0.25">
      <c r="A55" s="90" t="s">
        <v>135</v>
      </c>
    </row>
    <row r="56" spans="1:11" x14ac:dyDescent="0.25">
      <c r="A56" s="92" t="s">
        <v>198</v>
      </c>
    </row>
    <row r="57" spans="1:11" x14ac:dyDescent="0.25">
      <c r="A57" s="92"/>
      <c r="B57" s="67" t="s">
        <v>199</v>
      </c>
    </row>
    <row r="58" spans="1:11" x14ac:dyDescent="0.25">
      <c r="A58" s="92"/>
    </row>
    <row r="59" spans="1:11" x14ac:dyDescent="0.25">
      <c r="A59" s="89" t="s">
        <v>244</v>
      </c>
    </row>
    <row r="60" spans="1:11" x14ac:dyDescent="0.25">
      <c r="A60" s="91" t="s">
        <v>172</v>
      </c>
    </row>
    <row r="61" spans="1:11" x14ac:dyDescent="0.25">
      <c r="A61" s="91" t="s">
        <v>173</v>
      </c>
    </row>
    <row r="62" spans="1:11" x14ac:dyDescent="0.25">
      <c r="A62" s="91"/>
    </row>
    <row r="63" spans="1:11" x14ac:dyDescent="0.25">
      <c r="A63" s="91" t="s">
        <v>229</v>
      </c>
      <c r="I63" s="120"/>
      <c r="K63" s="120"/>
    </row>
    <row r="64" spans="1:11" x14ac:dyDescent="0.25">
      <c r="A64" s="91" t="s">
        <v>174</v>
      </c>
    </row>
    <row r="65" spans="1:2" x14ac:dyDescent="0.25">
      <c r="A65" s="91"/>
    </row>
    <row r="66" spans="1:2" x14ac:dyDescent="0.25">
      <c r="A66" s="93" t="s">
        <v>136</v>
      </c>
    </row>
    <row r="67" spans="1:2" x14ac:dyDescent="0.25">
      <c r="A67" s="91"/>
    </row>
    <row r="68" spans="1:2" x14ac:dyDescent="0.25">
      <c r="A68" s="116" t="s">
        <v>245</v>
      </c>
    </row>
    <row r="69" spans="1:2" x14ac:dyDescent="0.25">
      <c r="A69" s="91" t="s">
        <v>175</v>
      </c>
    </row>
    <row r="70" spans="1:2" x14ac:dyDescent="0.25">
      <c r="A70" s="91"/>
    </row>
    <row r="71" spans="1:2" x14ac:dyDescent="0.25">
      <c r="A71" s="89" t="s">
        <v>246</v>
      </c>
    </row>
    <row r="72" spans="1:2" x14ac:dyDescent="0.25">
      <c r="A72" s="91" t="s">
        <v>137</v>
      </c>
    </row>
    <row r="73" spans="1:2" x14ac:dyDescent="0.25">
      <c r="B73" s="91" t="s">
        <v>177</v>
      </c>
    </row>
    <row r="74" spans="1:2" x14ac:dyDescent="0.25">
      <c r="B74" s="91" t="s">
        <v>176</v>
      </c>
    </row>
    <row r="75" spans="1:2" x14ac:dyDescent="0.25">
      <c r="A75" s="89" t="s">
        <v>247</v>
      </c>
    </row>
    <row r="76" spans="1:2" x14ac:dyDescent="0.25">
      <c r="A76" s="91" t="s">
        <v>200</v>
      </c>
    </row>
    <row r="77" spans="1:2" x14ac:dyDescent="0.25">
      <c r="A77" s="91"/>
      <c r="B77" s="67" t="s">
        <v>201</v>
      </c>
    </row>
    <row r="78" spans="1:2" x14ac:dyDescent="0.25">
      <c r="A78" s="91"/>
    </row>
    <row r="79" spans="1:2" x14ac:dyDescent="0.25">
      <c r="A79" s="91" t="s">
        <v>138</v>
      </c>
    </row>
    <row r="81" spans="1:3" ht="15.75" thickBot="1" x14ac:dyDescent="0.3"/>
    <row r="82" spans="1:3" ht="19.5" thickBot="1" x14ac:dyDescent="0.3">
      <c r="B82" s="95" t="s">
        <v>67</v>
      </c>
      <c r="C82" s="96"/>
    </row>
    <row r="83" spans="1:3" ht="15.75" thickBot="1" x14ac:dyDescent="0.3">
      <c r="B83" s="97" t="s">
        <v>68</v>
      </c>
      <c r="C83" s="98" t="s">
        <v>69</v>
      </c>
    </row>
    <row r="84" spans="1:3" ht="30.75" thickBot="1" x14ac:dyDescent="0.3">
      <c r="B84" s="99" t="s">
        <v>70</v>
      </c>
      <c r="C84" s="100" t="s">
        <v>71</v>
      </c>
    </row>
    <row r="85" spans="1:3" ht="15.75" thickBot="1" x14ac:dyDescent="0.3">
      <c r="B85" s="99" t="s">
        <v>72</v>
      </c>
      <c r="C85" s="100" t="s">
        <v>73</v>
      </c>
    </row>
    <row r="86" spans="1:3" ht="15.75" thickBot="1" x14ac:dyDescent="0.3">
      <c r="B86" s="99" t="s">
        <v>74</v>
      </c>
      <c r="C86" s="100"/>
    </row>
    <row r="88" spans="1:3" x14ac:dyDescent="0.25">
      <c r="B88" s="67" t="s">
        <v>139</v>
      </c>
    </row>
    <row r="90" spans="1:3" x14ac:dyDescent="0.25">
      <c r="A90" s="86" t="s">
        <v>140</v>
      </c>
    </row>
    <row r="91" spans="1:3" x14ac:dyDescent="0.25">
      <c r="A91" s="87"/>
    </row>
    <row r="92" spans="1:3" x14ac:dyDescent="0.25">
      <c r="A92" s="89" t="s">
        <v>243</v>
      </c>
    </row>
    <row r="93" spans="1:3" x14ac:dyDescent="0.25">
      <c r="A93" s="91" t="s">
        <v>202</v>
      </c>
    </row>
    <row r="94" spans="1:3" x14ac:dyDescent="0.25">
      <c r="A94" s="91"/>
      <c r="B94" s="67" t="s">
        <v>203</v>
      </c>
    </row>
    <row r="95" spans="1:3" x14ac:dyDescent="0.25">
      <c r="A95" s="87"/>
    </row>
    <row r="96" spans="1:3" x14ac:dyDescent="0.25">
      <c r="A96" s="94" t="s">
        <v>178</v>
      </c>
    </row>
    <row r="97" spans="1:12" x14ac:dyDescent="0.25">
      <c r="A97" s="94" t="s">
        <v>204</v>
      </c>
    </row>
    <row r="98" spans="1:12" x14ac:dyDescent="0.25">
      <c r="A98" s="94"/>
      <c r="B98" s="67" t="s">
        <v>205</v>
      </c>
    </row>
    <row r="99" spans="1:12" x14ac:dyDescent="0.25">
      <c r="A99" s="94" t="s">
        <v>235</v>
      </c>
    </row>
    <row r="100" spans="1:12" x14ac:dyDescent="0.25">
      <c r="A100" s="114" t="s">
        <v>237</v>
      </c>
    </row>
    <row r="101" spans="1:12" x14ac:dyDescent="0.25">
      <c r="A101" s="114" t="s">
        <v>236</v>
      </c>
    </row>
    <row r="102" spans="1:12" x14ac:dyDescent="0.25">
      <c r="A102" s="114" t="s">
        <v>188</v>
      </c>
    </row>
    <row r="103" spans="1:12" x14ac:dyDescent="0.25">
      <c r="A103" s="86"/>
    </row>
    <row r="104" spans="1:12" x14ac:dyDescent="0.25">
      <c r="A104" s="86" t="s">
        <v>141</v>
      </c>
    </row>
    <row r="105" spans="1:12" x14ac:dyDescent="0.25">
      <c r="A105" s="86" t="s">
        <v>142</v>
      </c>
    </row>
    <row r="106" spans="1:12" x14ac:dyDescent="0.25">
      <c r="A106" s="89" t="s">
        <v>143</v>
      </c>
    </row>
    <row r="107" spans="1:12" x14ac:dyDescent="0.25">
      <c r="A107" s="91" t="s">
        <v>230</v>
      </c>
      <c r="I107" s="120"/>
    </row>
    <row r="108" spans="1:12" x14ac:dyDescent="0.25">
      <c r="A108" s="91" t="s">
        <v>231</v>
      </c>
      <c r="G108" s="121"/>
      <c r="I108" s="183"/>
      <c r="J108" s="183"/>
      <c r="K108" s="115"/>
      <c r="L108" s="115"/>
    </row>
    <row r="109" spans="1:12" x14ac:dyDescent="0.25">
      <c r="A109" s="91" t="s">
        <v>206</v>
      </c>
    </row>
    <row r="110" spans="1:12" x14ac:dyDescent="0.25">
      <c r="A110" s="91" t="s">
        <v>207</v>
      </c>
    </row>
    <row r="111" spans="1:12" x14ac:dyDescent="0.25">
      <c r="A111" s="91"/>
    </row>
    <row r="112" spans="1:12" x14ac:dyDescent="0.25">
      <c r="A112" s="89" t="s">
        <v>179</v>
      </c>
    </row>
    <row r="113" spans="1:7" x14ac:dyDescent="0.25">
      <c r="A113" s="127" t="s">
        <v>238</v>
      </c>
    </row>
    <row r="114" spans="1:7" x14ac:dyDescent="0.25">
      <c r="A114" s="91" t="s">
        <v>239</v>
      </c>
      <c r="E114" s="121"/>
      <c r="G114" s="122"/>
    </row>
    <row r="116" spans="1:7" x14ac:dyDescent="0.25">
      <c r="B116" s="128" t="s">
        <v>240</v>
      </c>
    </row>
    <row r="117" spans="1:7" x14ac:dyDescent="0.25">
      <c r="B117" s="127" t="s">
        <v>241</v>
      </c>
    </row>
    <row r="118" spans="1:7" x14ac:dyDescent="0.25">
      <c r="B118" s="127" t="s">
        <v>248</v>
      </c>
    </row>
    <row r="119" spans="1:7" x14ac:dyDescent="0.25">
      <c r="B119" s="127" t="s">
        <v>242</v>
      </c>
    </row>
  </sheetData>
  <sheetProtection algorithmName="SHA-512" hashValue="i3UzTmh9wLdJbH5yzPJYCbdz4UbeFv4BdXBj2PA/vqWlzBgPKp7HVP1EEVlczD4YP/xU4SD7WWbD+dTqR9lD3w==" saltValue="wqK/2v+X3cK9LZIPUrBDIA==" spinCount="100000" sheet="1" objects="1" scenarios="1"/>
  <mergeCells count="1">
    <mergeCell ref="I108:J108"/>
  </mergeCells>
  <pageMargins left="0.7" right="0.7" top="0.75" bottom="0.75" header="0.3" footer="0.3"/>
  <pageSetup paperSize="9" orientation="portrait" r:id="rId1"/>
  <rowBreaks count="1" manualBreakCount="1">
    <brk id="80"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5"/>
  <dimension ref="A1:Q44"/>
  <sheetViews>
    <sheetView showGridLines="0" workbookViewId="0">
      <selection activeCell="N7" sqref="N7"/>
    </sheetView>
  </sheetViews>
  <sheetFormatPr baseColWidth="10" defaultColWidth="11.42578125" defaultRowHeight="15" x14ac:dyDescent="0.25"/>
  <cols>
    <col min="13" max="13" width="10.140625" customWidth="1"/>
  </cols>
  <sheetData>
    <row r="1" spans="1:17" ht="26.25" x14ac:dyDescent="0.25">
      <c r="A1" s="184" t="s">
        <v>156</v>
      </c>
      <c r="B1" s="185"/>
      <c r="C1" s="185"/>
      <c r="D1" s="185"/>
      <c r="E1" s="185"/>
      <c r="F1" s="185"/>
      <c r="G1" s="185"/>
      <c r="H1" s="185"/>
      <c r="I1" s="185"/>
      <c r="J1" s="185"/>
      <c r="K1" s="185"/>
      <c r="L1" s="185"/>
      <c r="M1" s="185"/>
      <c r="N1" s="185"/>
      <c r="O1" s="185"/>
      <c r="P1" s="185"/>
      <c r="Q1" s="185"/>
    </row>
    <row r="2" spans="1:17" ht="18.75" x14ac:dyDescent="0.25">
      <c r="A2" s="63"/>
    </row>
    <row r="3" spans="1:17" ht="18.75" x14ac:dyDescent="0.25">
      <c r="A3" s="62" t="s">
        <v>61</v>
      </c>
    </row>
    <row r="4" spans="1:17" ht="18.75" x14ac:dyDescent="0.25">
      <c r="A4" s="62" t="s">
        <v>66</v>
      </c>
    </row>
    <row r="5" spans="1:17" ht="18.75" x14ac:dyDescent="0.25">
      <c r="A5" s="62" t="s">
        <v>180</v>
      </c>
    </row>
    <row r="6" spans="1:17" ht="18.75" x14ac:dyDescent="0.3">
      <c r="A6" s="62"/>
      <c r="B6" s="117" t="s">
        <v>181</v>
      </c>
    </row>
    <row r="7" spans="1:17" ht="18.75" x14ac:dyDescent="0.25">
      <c r="A7" s="61" t="s">
        <v>182</v>
      </c>
    </row>
    <row r="10" spans="1:17" ht="21" x14ac:dyDescent="0.35">
      <c r="B10" s="60" t="s">
        <v>60</v>
      </c>
      <c r="L10" s="60" t="s">
        <v>58</v>
      </c>
    </row>
    <row r="11" spans="1:17" x14ac:dyDescent="0.25">
      <c r="B11" t="s">
        <v>59</v>
      </c>
      <c r="L11" t="s">
        <v>57</v>
      </c>
    </row>
    <row r="44" spans="11:11" x14ac:dyDescent="0.25">
      <c r="K44" t="s">
        <v>117</v>
      </c>
    </row>
  </sheetData>
  <sheetProtection algorithmName="SHA-512" hashValue="cJeVbkP5a/rkMScOqkqrk59ERBNNISZOL4rrGX6ADjXsjCRuBq1dk8+O5E2WF9JIi+pyX1sDldLTBIEYais7sw==" saltValue="bypWpWHoIo14+ipmv9YZ2w==" spinCount="100000" sheet="1" objects="1" scenarios="1" selectLockedCells="1" selectUnlockedCells="1"/>
  <mergeCells count="1">
    <mergeCell ref="A1:Q1"/>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7"/>
  <dimension ref="A1"/>
  <sheetViews>
    <sheetView showGridLines="0" workbookViewId="0">
      <selection activeCell="Q23" sqref="Q23"/>
    </sheetView>
  </sheetViews>
  <sheetFormatPr baseColWidth="10" defaultColWidth="11.42578125" defaultRowHeight="15" x14ac:dyDescent="0.25"/>
  <sheetData/>
  <sheetProtection algorithmName="SHA-512" hashValue="jf+o1Q7XogxxTvWLfWZY0mfsJ5iggU7Yj002J/BznW53SmuuWEadKpJGavPcWBw+osB9an/VOaILoWkQ+jBgrw==" saltValue="wuteRbPBhCLS7H/4Ve1MQw==" spinCount="100000" sheet="1" objects="1" scenarios="1" selectLockedCells="1" selectUnlockedCells="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9"/>
  <dimension ref="A1"/>
  <sheetViews>
    <sheetView showGridLines="0" workbookViewId="0">
      <selection activeCell="W29" sqref="W29"/>
    </sheetView>
  </sheetViews>
  <sheetFormatPr baseColWidth="10" defaultColWidth="11.42578125" defaultRowHeight="15" x14ac:dyDescent="0.25"/>
  <sheetData/>
  <sheetProtection algorithmName="SHA-512" hashValue="r+Llj3g4gFurNS61h5d+a1hgOjl44DMQXAGs4QE8huETPhJ+Spl4DGGbe7fMy4oBtIyXAmW95ZFJu4z4yjsyGg==" saltValue="V1Q4rzfpWwJA/NVg8TPh1g==" spinCount="100000" sheet="1" selectLockedCells="1" selectUnlockedCells="1"/>
  <pageMargins left="0.7" right="0.7" top="0.75" bottom="0.75" header="0.3" footer="0.3"/>
  <drawing r:id="rId1"/>
</worksheet>
</file>

<file path=docMetadata/LabelInfo.xml><?xml version="1.0" encoding="utf-8"?>
<clbl:labelList xmlns:clbl="http://schemas.microsoft.com/office/2020/mipLabelMetadata">
  <clbl:label id="{5b906c1f-19d2-4ac1-bea8-1ddf524e35b3}" enabled="1" method="Standard" siteId="{7f8e4cf0-71fb-489c-a336-3f9252a63908}" contentBits="0" removed="0"/>
</clbl:labelLis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Regneark</vt:lpstr>
      </vt:variant>
      <vt:variant>
        <vt:i4>8</vt:i4>
      </vt:variant>
      <vt:variant>
        <vt:lpstr>Navngitte områder</vt:lpstr>
      </vt:variant>
      <vt:variant>
        <vt:i4>1</vt:i4>
      </vt:variant>
    </vt:vector>
  </HeadingPairs>
  <TitlesOfParts>
    <vt:vector size="9" baseType="lpstr">
      <vt:lpstr>Gentacalc</vt:lpstr>
      <vt:lpstr>Ark2</vt:lpstr>
      <vt:lpstr>Tolking s-gentamicin, 0-prøve</vt:lpstr>
      <vt:lpstr>Tolkning s-gentamicin, 8t-prøve</vt:lpstr>
      <vt:lpstr>Prosedyre</vt:lpstr>
      <vt:lpstr>Hvordan legge inn i Metavision</vt:lpstr>
      <vt:lpstr>Referanser</vt:lpstr>
      <vt:lpstr>Forutsetninger</vt:lpstr>
      <vt:lpstr>_3.3.5.1_Forklaring_til_bruk_habituell_kreatinin</vt:lpstr>
    </vt:vector>
  </TitlesOfParts>
  <Manager/>
  <Company>Helse Sør-Øst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Erik Øydna;Geir Thore Berge</dc:creator>
  <cp:keywords/>
  <dc:description/>
  <cp:lastModifiedBy>Odd Alexander Tellefsen</cp:lastModifiedBy>
  <dcterms:created xsi:type="dcterms:W3CDTF">2021-12-14T13:06:36Z</dcterms:created>
  <dcterms:modified xsi:type="dcterms:W3CDTF">2025-08-08T06:27:43Z</dcterms:modified>
  <cp:category/>
</cp:coreProperties>
</file>